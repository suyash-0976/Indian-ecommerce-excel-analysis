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D:\LEARNING\excel\"/>
    </mc:Choice>
  </mc:AlternateContent>
  <xr:revisionPtr revIDLastSave="0" documentId="13_ncr:1_{79B1EC9D-FAE1-402F-80E6-9C0B9FB4DA53}" xr6:coauthVersionLast="47" xr6:coauthVersionMax="47" xr10:uidLastSave="{00000000-0000-0000-0000-000000000000}"/>
  <bookViews>
    <workbookView xWindow="-108" yWindow="-108" windowWidth="23256" windowHeight="12456" activeTab="4" xr2:uid="{EB9E8D05-FB60-4431-A7CD-764E3968D0FF}"/>
  </bookViews>
  <sheets>
    <sheet name="Raw_Data" sheetId="1" r:id="rId1"/>
    <sheet name="Detail1" sheetId="6" state="hidden" r:id="rId2"/>
    <sheet name="Pivot_Table" sheetId="4" r:id="rId3"/>
    <sheet name="Cleaned_Data" sheetId="2" r:id="rId4"/>
    <sheet name="Dashboard" sheetId="5" r:id="rId5"/>
  </sheets>
  <definedNames>
    <definedName name="_xlnm._FilterDatabase" localSheetId="0" hidden="1">Raw_Data!$A$1:$K$46</definedName>
    <definedName name="Slicer_City">#N/A</definedName>
    <definedName name="Slicer_CLEAN_NAMES">#N/A</definedName>
    <definedName name="Slicer_Direction">#N/A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8" i="2" l="1"/>
  <c r="C47" i="2"/>
  <c r="S46" i="2"/>
  <c r="N46" i="2"/>
  <c r="G46" i="2"/>
  <c r="C46" i="2"/>
  <c r="N45" i="2"/>
  <c r="G45" i="2"/>
  <c r="C45" i="2"/>
  <c r="S44" i="2"/>
  <c r="N44" i="2"/>
  <c r="G44" i="2"/>
  <c r="C44" i="2"/>
  <c r="S43" i="2"/>
  <c r="N43" i="2"/>
  <c r="G43" i="2"/>
  <c r="C43" i="2"/>
  <c r="S42" i="2"/>
  <c r="Q42" i="2"/>
  <c r="N42" i="2"/>
  <c r="G42" i="2"/>
  <c r="C42" i="2"/>
  <c r="S41" i="2"/>
  <c r="N41" i="2"/>
  <c r="O41" i="2" s="1"/>
  <c r="G41" i="2"/>
  <c r="C41" i="2"/>
  <c r="S40" i="2"/>
  <c r="N40" i="2"/>
  <c r="G40" i="2"/>
  <c r="C40" i="2"/>
  <c r="S39" i="2"/>
  <c r="N39" i="2"/>
  <c r="G39" i="2"/>
  <c r="C39" i="2"/>
  <c r="S38" i="2"/>
  <c r="Q38" i="2"/>
  <c r="N38" i="2"/>
  <c r="G38" i="2"/>
  <c r="C38" i="2"/>
  <c r="N37" i="2"/>
  <c r="G37" i="2"/>
  <c r="C37" i="2"/>
  <c r="S36" i="2"/>
  <c r="Q36" i="2"/>
  <c r="N36" i="2"/>
  <c r="G36" i="2"/>
  <c r="C36" i="2"/>
  <c r="S35" i="2"/>
  <c r="N35" i="2"/>
  <c r="O35" i="2" s="1"/>
  <c r="G35" i="2"/>
  <c r="C35" i="2"/>
  <c r="S34" i="2"/>
  <c r="N34" i="2"/>
  <c r="G34" i="2"/>
  <c r="C34" i="2"/>
  <c r="S33" i="2"/>
  <c r="Q33" i="2"/>
  <c r="N33" i="2"/>
  <c r="G33" i="2"/>
  <c r="C33" i="2"/>
  <c r="S32" i="2"/>
  <c r="N32" i="2"/>
  <c r="G32" i="2"/>
  <c r="C32" i="2"/>
  <c r="N31" i="2"/>
  <c r="G31" i="2"/>
  <c r="C31" i="2"/>
  <c r="N30" i="2"/>
  <c r="G30" i="2"/>
  <c r="C30" i="2"/>
  <c r="S29" i="2"/>
  <c r="Q29" i="2"/>
  <c r="N29" i="2"/>
  <c r="O29" i="2" s="1"/>
  <c r="G29" i="2"/>
  <c r="C29" i="2"/>
  <c r="S28" i="2"/>
  <c r="N28" i="2"/>
  <c r="G28" i="2"/>
  <c r="C28" i="2"/>
  <c r="S27" i="2"/>
  <c r="N27" i="2"/>
  <c r="G27" i="2"/>
  <c r="C27" i="2"/>
  <c r="S26" i="2"/>
  <c r="Q26" i="2"/>
  <c r="N26" i="2"/>
  <c r="G26" i="2"/>
  <c r="C26" i="2"/>
  <c r="S25" i="2"/>
  <c r="N25" i="2"/>
  <c r="G25" i="2"/>
  <c r="C25" i="2"/>
  <c r="S24" i="2"/>
  <c r="N24" i="2"/>
  <c r="G24" i="2"/>
  <c r="C24" i="2"/>
  <c r="U2" i="2" s="1"/>
  <c r="S23" i="2"/>
  <c r="N23" i="2"/>
  <c r="O23" i="2" s="1"/>
  <c r="G23" i="2"/>
  <c r="C23" i="2"/>
  <c r="S22" i="2"/>
  <c r="N22" i="2"/>
  <c r="G22" i="2"/>
  <c r="C22" i="2"/>
  <c r="N21" i="2"/>
  <c r="G21" i="2"/>
  <c r="C21" i="2"/>
  <c r="S20" i="2"/>
  <c r="N20" i="2"/>
  <c r="G20" i="2"/>
  <c r="C20" i="2"/>
  <c r="S19" i="2"/>
  <c r="Q19" i="2"/>
  <c r="N19" i="2"/>
  <c r="G19" i="2"/>
  <c r="C19" i="2"/>
  <c r="N18" i="2"/>
  <c r="G18" i="2"/>
  <c r="C18" i="2"/>
  <c r="S17" i="2"/>
  <c r="Q17" i="2"/>
  <c r="N17" i="2"/>
  <c r="O17" i="2" s="1"/>
  <c r="G17" i="2"/>
  <c r="C17" i="2"/>
  <c r="S16" i="2"/>
  <c r="N16" i="2"/>
  <c r="G16" i="2"/>
  <c r="C16" i="2"/>
  <c r="S15" i="2"/>
  <c r="N15" i="2"/>
  <c r="G15" i="2"/>
  <c r="C15" i="2"/>
  <c r="S14" i="2"/>
  <c r="Q14" i="2"/>
  <c r="N14" i="2"/>
  <c r="G14" i="2"/>
  <c r="C14" i="2"/>
  <c r="S13" i="2"/>
  <c r="N13" i="2"/>
  <c r="G13" i="2"/>
  <c r="C13" i="2"/>
  <c r="S12" i="2"/>
  <c r="Q12" i="2"/>
  <c r="N12" i="2"/>
  <c r="G12" i="2"/>
  <c r="C12" i="2"/>
  <c r="S11" i="2"/>
  <c r="N11" i="2"/>
  <c r="O11" i="2" s="1"/>
  <c r="G11" i="2"/>
  <c r="C11" i="2"/>
  <c r="S10" i="2"/>
  <c r="N10" i="2"/>
  <c r="G10" i="2"/>
  <c r="C10" i="2"/>
  <c r="N9" i="2"/>
  <c r="G9" i="2"/>
  <c r="C9" i="2"/>
  <c r="S8" i="2"/>
  <c r="N8" i="2"/>
  <c r="G8" i="2"/>
  <c r="C8" i="2"/>
  <c r="S7" i="2"/>
  <c r="Q7" i="2"/>
  <c r="N7" i="2"/>
  <c r="G7" i="2"/>
  <c r="C7" i="2"/>
  <c r="S6" i="2"/>
  <c r="N6" i="2"/>
  <c r="G6" i="2"/>
  <c r="C6" i="2"/>
  <c r="S5" i="2"/>
  <c r="Q5" i="2"/>
  <c r="N5" i="2"/>
  <c r="G5" i="2"/>
  <c r="C5" i="2"/>
  <c r="N4" i="2"/>
  <c r="G4" i="2"/>
  <c r="C4" i="2"/>
  <c r="N3" i="2"/>
  <c r="G3" i="2"/>
  <c r="C3" i="2"/>
  <c r="U4" i="2" s="1" a="1"/>
  <c r="T2" i="2"/>
  <c r="N2" i="2"/>
  <c r="M2" i="2"/>
  <c r="G2" i="2"/>
  <c r="C2" i="2"/>
  <c r="O46" i="2" l="1"/>
  <c r="O45" i="2"/>
  <c r="O44" i="2"/>
  <c r="O43" i="2"/>
  <c r="O42" i="2"/>
  <c r="R41" i="2"/>
  <c r="P41" i="2"/>
  <c r="Q41" i="2" s="1"/>
  <c r="O40" i="2"/>
  <c r="R40" i="2" s="1"/>
  <c r="P40" i="2"/>
  <c r="Q40" i="2" s="1"/>
  <c r="O39" i="2"/>
  <c r="R39" i="2" s="1"/>
  <c r="P39" i="2"/>
  <c r="Q39" i="2" s="1"/>
  <c r="O38" i="2"/>
  <c r="R38" i="2" s="1"/>
  <c r="P38" i="2"/>
  <c r="O37" i="2"/>
  <c r="O36" i="2"/>
  <c r="P35" i="2"/>
  <c r="Q35" i="2" s="1"/>
  <c r="R35" i="2"/>
  <c r="O34" i="2"/>
  <c r="R34" i="2" s="1"/>
  <c r="P34" i="2"/>
  <c r="Q34" i="2" s="1"/>
  <c r="O33" i="2"/>
  <c r="R33" i="2" s="1"/>
  <c r="P33" i="2"/>
  <c r="O32" i="2"/>
  <c r="O31" i="2"/>
  <c r="R31" i="2" s="1"/>
  <c r="P31" i="2"/>
  <c r="Q31" i="2" s="1"/>
  <c r="S31" i="2" s="1"/>
  <c r="O30" i="2"/>
  <c r="R29" i="2"/>
  <c r="P29" i="2"/>
  <c r="O28" i="2"/>
  <c r="R28" i="2" s="1"/>
  <c r="P28" i="2"/>
  <c r="Q28" i="2" s="1"/>
  <c r="O27" i="2"/>
  <c r="R27" i="2" s="1"/>
  <c r="P27" i="2"/>
  <c r="Q27" i="2" s="1"/>
  <c r="O26" i="2"/>
  <c r="O25" i="2"/>
  <c r="R25" i="2" s="1"/>
  <c r="P25" i="2"/>
  <c r="Q25" i="2" s="1"/>
  <c r="O24" i="2"/>
  <c r="P23" i="2"/>
  <c r="Q23" i="2" s="1"/>
  <c r="R23" i="2"/>
  <c r="O22" i="2"/>
  <c r="O21" i="2"/>
  <c r="R21" i="2" s="1"/>
  <c r="P21" i="2"/>
  <c r="Q21" i="2" s="1"/>
  <c r="S21" i="2" s="1"/>
  <c r="O20" i="2"/>
  <c r="R20" i="2" s="1"/>
  <c r="P20" i="2"/>
  <c r="Q20" i="2" s="1"/>
  <c r="O19" i="2"/>
  <c r="O18" i="2"/>
  <c r="R17" i="2"/>
  <c r="P17" i="2"/>
  <c r="O16" i="2"/>
  <c r="O15" i="2"/>
  <c r="O14" i="2"/>
  <c r="R14" i="2" s="1"/>
  <c r="P14" i="2"/>
  <c r="O13" i="2"/>
  <c r="R13" i="2" s="1"/>
  <c r="P13" i="2"/>
  <c r="Q13" i="2" s="1"/>
  <c r="O12" i="2"/>
  <c r="R12" i="2" s="1"/>
  <c r="P12" i="2"/>
  <c r="P11" i="2"/>
  <c r="Q11" i="2" s="1"/>
  <c r="R11" i="2"/>
  <c r="O10" i="2"/>
  <c r="R10" i="2" s="1"/>
  <c r="P10" i="2"/>
  <c r="Q10" i="2" s="1"/>
  <c r="O9" i="2"/>
  <c r="O8" i="2"/>
  <c r="R8" i="2" s="1"/>
  <c r="P8" i="2"/>
  <c r="Q8" i="2" s="1"/>
  <c r="O7" i="2"/>
  <c r="R7" i="2" s="1"/>
  <c r="P7" i="2"/>
  <c r="O6" i="2"/>
  <c r="R6" i="2" s="1"/>
  <c r="P6" i="2"/>
  <c r="Q6" i="2" s="1"/>
  <c r="O5" i="2"/>
  <c r="O4" i="2"/>
  <c r="R4" i="2" s="1"/>
  <c r="P4" i="2"/>
  <c r="Q4" i="2" s="1"/>
  <c r="O3" i="2"/>
  <c r="R3" i="2" s="1"/>
  <c r="P3" i="2"/>
  <c r="Q3" i="2" s="1"/>
  <c r="S3" i="2" s="1"/>
  <c r="O2" i="2"/>
  <c r="U3" i="2"/>
  <c r="S2" i="2"/>
  <c r="S4" i="2"/>
  <c r="R46" i="2" l="1"/>
  <c r="P46" i="2"/>
  <c r="Q46" i="2" s="1"/>
  <c r="R45" i="2"/>
  <c r="P45" i="2"/>
  <c r="Q45" i="2" s="1"/>
  <c r="S45" i="2" s="1"/>
  <c r="R44" i="2"/>
  <c r="P44" i="2"/>
  <c r="Q44" i="2" s="1"/>
  <c r="R43" i="2"/>
  <c r="P43" i="2"/>
  <c r="Q43" i="2" s="1"/>
  <c r="R42" i="2"/>
  <c r="P42" i="2"/>
  <c r="R37" i="2"/>
  <c r="P37" i="2"/>
  <c r="Q37" i="2" s="1"/>
  <c r="S37" i="2" s="1"/>
  <c r="R36" i="2"/>
  <c r="P36" i="2"/>
  <c r="R32" i="2"/>
  <c r="P32" i="2"/>
  <c r="Q32" i="2" s="1"/>
  <c r="R30" i="2"/>
  <c r="P30" i="2"/>
  <c r="Q30" i="2" s="1"/>
  <c r="S30" i="2" s="1"/>
  <c r="R26" i="2"/>
  <c r="P26" i="2"/>
  <c r="R24" i="2"/>
  <c r="P24" i="2"/>
  <c r="Q24" i="2" s="1"/>
  <c r="R22" i="2"/>
  <c r="P22" i="2"/>
  <c r="Q22" i="2" s="1"/>
  <c r="R19" i="2"/>
  <c r="P19" i="2"/>
  <c r="R18" i="2"/>
  <c r="P18" i="2"/>
  <c r="Q18" i="2" s="1"/>
  <c r="S18" i="2" s="1"/>
  <c r="R16" i="2"/>
  <c r="P16" i="2"/>
  <c r="Q16" i="2" s="1"/>
  <c r="R15" i="2"/>
  <c r="P15" i="2"/>
  <c r="Q15" i="2" s="1"/>
  <c r="R9" i="2"/>
  <c r="P9" i="2"/>
  <c r="Q9" i="2" s="1"/>
  <c r="S9" i="2" s="1"/>
  <c r="S47" i="2" s="1"/>
  <c r="R5" i="2"/>
  <c r="P5" i="2"/>
  <c r="R2" i="2"/>
  <c r="P2" i="2"/>
  <c r="Q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3F054F-5EA7-409C-A11A-349F2B3D92A2}"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<sst xmlns="http://schemas.openxmlformats.org/spreadsheetml/2006/main" count="1197" uniqueCount="265">
  <si>
    <t>Order_ID</t>
  </si>
  <si>
    <t>Order_Date</t>
  </si>
  <si>
    <t>Customer_Name</t>
  </si>
  <si>
    <t>City</t>
  </si>
  <si>
    <t>Region</t>
  </si>
  <si>
    <t>Product_Category</t>
  </si>
  <si>
    <t>Unit_Price</t>
  </si>
  <si>
    <t>Quantity</t>
  </si>
  <si>
    <t>Discount_Pct</t>
  </si>
  <si>
    <t>Payment_Method</t>
  </si>
  <si>
    <t>Order_Status</t>
  </si>
  <si>
    <t>ORD-2001</t>
  </si>
  <si>
    <t xml:space="preserve">  rahul sharma  </t>
  </si>
  <si>
    <t>Mumbai</t>
  </si>
  <si>
    <t>West</t>
  </si>
  <si>
    <t xml:space="preserve"> mobiles &amp; accessories </t>
  </si>
  <si>
    <t>UPI</t>
  </si>
  <si>
    <t>Delivered</t>
  </si>
  <si>
    <t>ORD-2002</t>
  </si>
  <si>
    <t>PRIYA PATEL</t>
  </si>
  <si>
    <t>Ahmedabad</t>
  </si>
  <si>
    <t>FASHION &amp; ETHNIC</t>
  </si>
  <si>
    <t>$2499</t>
  </si>
  <si>
    <t>Credit Card</t>
  </si>
  <si>
    <t>ORD-2003</t>
  </si>
  <si>
    <t>2025.01.12</t>
  </si>
  <si>
    <t xml:space="preserve">  amit verma  </t>
  </si>
  <si>
    <t>Delhi</t>
  </si>
  <si>
    <t>North</t>
  </si>
  <si>
    <t>Home &amp; Kitchen</t>
  </si>
  <si>
    <t>Rs 1850</t>
  </si>
  <si>
    <t>COD</t>
  </si>
  <si>
    <t>Returned</t>
  </si>
  <si>
    <t>ORD-2004</t>
  </si>
  <si>
    <t>SNEHA REDDY</t>
  </si>
  <si>
    <t>Bengaluru</t>
  </si>
  <si>
    <t>South</t>
  </si>
  <si>
    <t xml:space="preserve"> ELECTRONICS </t>
  </si>
  <si>
    <t>Net Banking</t>
  </si>
  <si>
    <t>ORD-2005</t>
  </si>
  <si>
    <t>vikram singh</t>
  </si>
  <si>
    <t>Jaipur</t>
  </si>
  <si>
    <t xml:space="preserve"> beauty &amp; grooming </t>
  </si>
  <si>
    <t>Cancelled</t>
  </si>
  <si>
    <t>ORD-2006</t>
  </si>
  <si>
    <t xml:space="preserve">  ANITA ROY  </t>
  </si>
  <si>
    <t>Kolkata</t>
  </si>
  <si>
    <t>East</t>
  </si>
  <si>
    <t>mobiles &amp; accessories</t>
  </si>
  <si>
    <t>ORD-2007</t>
  </si>
  <si>
    <t>2025.01.26</t>
  </si>
  <si>
    <t>rohit deshmukh</t>
  </si>
  <si>
    <t>Nagpur</t>
  </si>
  <si>
    <t>Fashion &amp; Ethnic</t>
  </si>
  <si>
    <t>Debit Card</t>
  </si>
  <si>
    <t>ORD-2008</t>
  </si>
  <si>
    <t>KAVITA DAS</t>
  </si>
  <si>
    <t>Bhubaneswar</t>
  </si>
  <si>
    <t xml:space="preserve"> home &amp; kitchen </t>
  </si>
  <si>
    <t>Rs 4100</t>
  </si>
  <si>
    <t>ORD-2009</t>
  </si>
  <si>
    <t xml:space="preserve">  devkumar nair  </t>
  </si>
  <si>
    <t>Kochi</t>
  </si>
  <si>
    <t>Beauty &amp; Grooming</t>
  </si>
  <si>
    <t>ORD-2010</t>
  </si>
  <si>
    <t>POOJA MEHTA</t>
  </si>
  <si>
    <t>Pune</t>
  </si>
  <si>
    <t>ELECTRONICS</t>
  </si>
  <si>
    <t>$32000</t>
  </si>
  <si>
    <t>ORD-2011</t>
  </si>
  <si>
    <t>2025.02.14</t>
  </si>
  <si>
    <t>AKASH GUPTA</t>
  </si>
  <si>
    <t>Lucknow</t>
  </si>
  <si>
    <t>ORD-2012</t>
  </si>
  <si>
    <t>neha sharma</t>
  </si>
  <si>
    <t>Chandigarh</t>
  </si>
  <si>
    <t>ORD-2013</t>
  </si>
  <si>
    <t xml:space="preserve">  suresh PRASAD </t>
  </si>
  <si>
    <t>Patna</t>
  </si>
  <si>
    <t>ORD-2014</t>
  </si>
  <si>
    <t>SWATI SHAH</t>
  </si>
  <si>
    <t>Surat</t>
  </si>
  <si>
    <t>Rs 1290</t>
  </si>
  <si>
    <t>ORD-2015</t>
  </si>
  <si>
    <t>2025.03.04</t>
  </si>
  <si>
    <t xml:space="preserve">  manish joshi  </t>
  </si>
  <si>
    <t>Indore</t>
  </si>
  <si>
    <t>Central</t>
  </si>
  <si>
    <t>Electronics</t>
  </si>
  <si>
    <t>ORD-2016</t>
  </si>
  <si>
    <t>KIRAN RAO</t>
  </si>
  <si>
    <t>Hyderabad</t>
  </si>
  <si>
    <t>ORD-2017</t>
  </si>
  <si>
    <t xml:space="preserve">  simran kaur </t>
  </si>
  <si>
    <t>Amritsar</t>
  </si>
  <si>
    <t>ORD-2018</t>
  </si>
  <si>
    <t>ARJUN NAIR</t>
  </si>
  <si>
    <t>Thiruvananthapuram</t>
  </si>
  <si>
    <t>Rs 3500</t>
  </si>
  <si>
    <t>ORD-2019</t>
  </si>
  <si>
    <t>2025.03.22</t>
  </si>
  <si>
    <t>divya pillai</t>
  </si>
  <si>
    <t>Chennai</t>
  </si>
  <si>
    <t xml:space="preserve"> Beauty &amp; Grooming </t>
  </si>
  <si>
    <t>ORD-2020</t>
  </si>
  <si>
    <t xml:space="preserve">  AARTI SHARMA </t>
  </si>
  <si>
    <t>Bhopal</t>
  </si>
  <si>
    <t>$65000</t>
  </si>
  <si>
    <t>ORD-2021</t>
  </si>
  <si>
    <t>tarun mehra</t>
  </si>
  <si>
    <t>Ludhiana</t>
  </si>
  <si>
    <t>ORD-2022</t>
  </si>
  <si>
    <t xml:space="preserve">  gautam kashyap  </t>
  </si>
  <si>
    <t>Vadodara</t>
  </si>
  <si>
    <t>ORD-2023</t>
  </si>
  <si>
    <t>2025.04.14</t>
  </si>
  <si>
    <t>VIJAY KUMAR</t>
  </si>
  <si>
    <t>Visakhapatnam</t>
  </si>
  <si>
    <t>ORD-2024</t>
  </si>
  <si>
    <t xml:space="preserve">  riya sen </t>
  </si>
  <si>
    <t>Ranchi</t>
  </si>
  <si>
    <t>Rs 980</t>
  </si>
  <si>
    <t>ORD-2025</t>
  </si>
  <si>
    <t>ALOK PANDEY</t>
  </si>
  <si>
    <t>Kanpur</t>
  </si>
  <si>
    <t>ORD-2026</t>
  </si>
  <si>
    <t>megha kapoor</t>
  </si>
  <si>
    <t>ORD-2027</t>
  </si>
  <si>
    <t>2025.05.05</t>
  </si>
  <si>
    <t xml:space="preserve">  rajesh iyer </t>
  </si>
  <si>
    <t>Coimbatore</t>
  </si>
  <si>
    <t>ORD-2028</t>
  </si>
  <si>
    <t>SHALINI ROY</t>
  </si>
  <si>
    <t>Guwahati</t>
  </si>
  <si>
    <t>ORD-2029</t>
  </si>
  <si>
    <t xml:space="preserve">  sanjay dutt </t>
  </si>
  <si>
    <t>Varanasi</t>
  </si>
  <si>
    <t>ORD-2030</t>
  </si>
  <si>
    <t>deepak chawla</t>
  </si>
  <si>
    <t>ORD-2031</t>
  </si>
  <si>
    <t>2025.05.30</t>
  </si>
  <si>
    <t>NIDHI AGARWAL</t>
  </si>
  <si>
    <t>Agra</t>
  </si>
  <si>
    <t>Rs 1950</t>
  </si>
  <si>
    <t>ORD-2032</t>
  </si>
  <si>
    <t xml:space="preserve">  siddharth rao </t>
  </si>
  <si>
    <t>ORD-2033</t>
  </si>
  <si>
    <t>pankaj tripathi</t>
  </si>
  <si>
    <t>Prayagraj</t>
  </si>
  <si>
    <t>ORD-2034</t>
  </si>
  <si>
    <t xml:space="preserve">  TANVI HEGDE </t>
  </si>
  <si>
    <t>Mangaluru</t>
  </si>
  <si>
    <t>Rs 1450</t>
  </si>
  <si>
    <t>ORD-2035</t>
  </si>
  <si>
    <t>2025.06.21</t>
  </si>
  <si>
    <t>saurabh KUMAR</t>
  </si>
  <si>
    <t>ORD-2036</t>
  </si>
  <si>
    <t>ANANYA MISHRA</t>
  </si>
  <si>
    <t>ORD-2037</t>
  </si>
  <si>
    <t xml:space="preserve">  vishal kulkarni </t>
  </si>
  <si>
    <t>$29900</t>
  </si>
  <si>
    <t>ORD-2038</t>
  </si>
  <si>
    <t>SHWETA SHETTY</t>
  </si>
  <si>
    <t>ORD-2039</t>
  </si>
  <si>
    <t>2025.07.14</t>
  </si>
  <si>
    <t xml:space="preserve">  nitin gadkari </t>
  </si>
  <si>
    <t>ORD-2040</t>
  </si>
  <si>
    <t>PRIYANKA CHOPRA</t>
  </si>
  <si>
    <t>ORD-2041</t>
  </si>
  <si>
    <t>harish rawat</t>
  </si>
  <si>
    <t>Dehradun</t>
  </si>
  <si>
    <t>Rs 2600</t>
  </si>
  <si>
    <t>ORD-2042</t>
  </si>
  <si>
    <t xml:space="preserve">  bhavna shah </t>
  </si>
  <si>
    <t>Rajkot</t>
  </si>
  <si>
    <t>ORD-2043</t>
  </si>
  <si>
    <t>2025.08.05</t>
  </si>
  <si>
    <t>MADHAVAN NAIR</t>
  </si>
  <si>
    <t>Madurai</t>
  </si>
  <si>
    <t>ORD-2044</t>
  </si>
  <si>
    <t xml:space="preserve">  ishita dutta </t>
  </si>
  <si>
    <t>Jamshedpur</t>
  </si>
  <si>
    <t>ORD-2045</t>
  </si>
  <si>
    <t>YASHVARDHAN RATHORE</t>
  </si>
  <si>
    <t>Udaipur</t>
  </si>
  <si>
    <t>CLEAN_NAMES</t>
  </si>
  <si>
    <t>Direction</t>
  </si>
  <si>
    <t>Clean_maacc</t>
  </si>
  <si>
    <t>Gross_revenue</t>
  </si>
  <si>
    <t>Discount_Amount</t>
  </si>
  <si>
    <t>Total_Profit</t>
  </si>
  <si>
    <t>Real_Revenue</t>
  </si>
  <si>
    <t>Order_Flag</t>
  </si>
  <si>
    <t>testing</t>
  </si>
  <si>
    <t>(blank)</t>
  </si>
  <si>
    <t>Grand Total</t>
  </si>
  <si>
    <t>Column1</t>
  </si>
  <si>
    <t>Column2</t>
  </si>
  <si>
    <t>Column3</t>
  </si>
  <si>
    <t>Column4</t>
  </si>
  <si>
    <t>Sum of Real_Revenue</t>
  </si>
  <si>
    <t>Count of Order_ID</t>
  </si>
  <si>
    <t>Sum of Quantity</t>
  </si>
  <si>
    <t>Average of Real_Revenue2</t>
  </si>
  <si>
    <t>Row Labels</t>
  </si>
  <si>
    <t>Aarti Sharma</t>
  </si>
  <si>
    <t>Akash Gupta</t>
  </si>
  <si>
    <t>Alok Pandey</t>
  </si>
  <si>
    <t>Amit Verma</t>
  </si>
  <si>
    <t>Ananya Mishra</t>
  </si>
  <si>
    <t>Anita Roy</t>
  </si>
  <si>
    <t>Arjun Nair</t>
  </si>
  <si>
    <t>Bhavna Shah</t>
  </si>
  <si>
    <t>Deepak Chawla</t>
  </si>
  <si>
    <t>Devkumar Nair</t>
  </si>
  <si>
    <t>Divya Pillai</t>
  </si>
  <si>
    <t>Gautam Kashyap</t>
  </si>
  <si>
    <t>Harish Rawat</t>
  </si>
  <si>
    <t>Ishita Dutta</t>
  </si>
  <si>
    <t>Kavita Das</t>
  </si>
  <si>
    <t>Kiran Rao</t>
  </si>
  <si>
    <t>Madhavan Nair</t>
  </si>
  <si>
    <t>Manish Joshi</t>
  </si>
  <si>
    <t>Megha Kapoor</t>
  </si>
  <si>
    <t>Neha Sharma</t>
  </si>
  <si>
    <t>Nidhi Agarwal</t>
  </si>
  <si>
    <t>Nitin Gadkari</t>
  </si>
  <si>
    <t>Pankaj Tripathi</t>
  </si>
  <si>
    <t>Pooja Mehta</t>
  </si>
  <si>
    <t>Priya Patel</t>
  </si>
  <si>
    <t>Priyanka Chopra</t>
  </si>
  <si>
    <t>Rahul Sharma</t>
  </si>
  <si>
    <t>Rajesh Iyer</t>
  </si>
  <si>
    <t>Riya Sen</t>
  </si>
  <si>
    <t>Rohit Deshmukh</t>
  </si>
  <si>
    <t>Sanjay Dutt</t>
  </si>
  <si>
    <t>Saurabh Kumar</t>
  </si>
  <si>
    <t>Shalini Roy</t>
  </si>
  <si>
    <t>Shweta Shetty</t>
  </si>
  <si>
    <t>Siddharth Rao</t>
  </si>
  <si>
    <t>Simran Kaur</t>
  </si>
  <si>
    <t>Sneha Reddy</t>
  </si>
  <si>
    <t>Suresh Prasad</t>
  </si>
  <si>
    <t>Swati Shah</t>
  </si>
  <si>
    <t>Tanvi Hegde</t>
  </si>
  <si>
    <t>Tarun Mehra</t>
  </si>
  <si>
    <t>Vijay Kumar</t>
  </si>
  <si>
    <t>Vikram Singh</t>
  </si>
  <si>
    <t>Vishal Kulkarni</t>
  </si>
  <si>
    <t>Yashvardhan Rathore</t>
  </si>
  <si>
    <t>&lt;05-01-2025</t>
  </si>
  <si>
    <t>Jan</t>
  </si>
  <si>
    <t>Feb</t>
  </si>
  <si>
    <t>Mar</t>
  </si>
  <si>
    <t>Apr</t>
  </si>
  <si>
    <t>May</t>
  </si>
  <si>
    <t>Jun</t>
  </si>
  <si>
    <t>Jul</t>
  </si>
  <si>
    <t>Aug</t>
  </si>
  <si>
    <t/>
  </si>
  <si>
    <t>Mobiles &amp; Accessories</t>
  </si>
  <si>
    <t>High Value</t>
  </si>
  <si>
    <t>Standard</t>
  </si>
  <si>
    <t>#SPILL!</t>
  </si>
  <si>
    <t>Details for Sum of Real_Revenue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</si>
</sst>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164" formatCode="[$-14009]dd/mm/yy;@"/>
    <numFmt numFmtId="165" formatCode="&quot;₹&quot;\ #,##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6" fontId="0" fillId="0" borderId="0" xfId="0" applyNumberFormat="1"/>
    <xf numFmtId="0" fontId="0" fillId="0" borderId="0" xfId="0" applyAlignment="1">
      <alignment horizontal="left"/>
    </xf>
    <xf numFmtId="14" fontId="0" fillId="0" borderId="0" xfId="0" applyNumberFormat="1" applyAlignment="1">
      <alignment horizontal="left"/>
    </xf>
    <xf numFmtId="164" fontId="0" fillId="0" borderId="0" xfId="0" applyNumberFormat="1" applyAlignment="1">
      <alignment horizontal="left"/>
    </xf>
    <xf numFmtId="49" fontId="0" fillId="0" borderId="0" xfId="0" applyNumberFormat="1" applyAlignment="1">
      <alignment horizontal="left"/>
    </xf>
    <xf numFmtId="165" fontId="0" fillId="0" borderId="0" xfId="0" applyNumberFormat="1" applyAlignment="1">
      <alignment horizontal="left"/>
    </xf>
    <xf numFmtId="0" fontId="1" fillId="0" borderId="0" xfId="0" applyFont="1"/>
    <xf numFmtId="0" fontId="2" fillId="0" borderId="0" xfId="0" applyFont="1" applyAlignment="1">
      <alignment horizontal="left"/>
    </xf>
    <xf numFmtId="14" fontId="2" fillId="0" borderId="0" xfId="0" applyNumberFormat="1" applyFont="1" applyAlignment="1">
      <alignment horizontal="left"/>
    </xf>
    <xf numFmtId="164" fontId="2" fillId="0" borderId="0" xfId="0" applyNumberFormat="1" applyFont="1" applyAlignment="1">
      <alignment horizontal="left"/>
    </xf>
    <xf numFmtId="49" fontId="2" fillId="0" borderId="0" xfId="0" applyNumberFormat="1" applyFont="1" applyAlignment="1">
      <alignment horizontal="left"/>
    </xf>
    <xf numFmtId="165" fontId="2" fillId="0" borderId="0" xfId="0" applyNumberFormat="1" applyFont="1" applyAlignment="1">
      <alignment horizontal="left"/>
    </xf>
    <xf numFmtId="0" fontId="2" fillId="0" borderId="0" xfId="0" applyFont="1"/>
    <xf numFmtId="0" fontId="0" fillId="0" borderId="0" xfId="0" pivotButton="1"/>
    <xf numFmtId="0" fontId="2" fillId="0" borderId="0" xfId="0" applyFont="1" applyAlignment="1">
      <alignment horizontal="center"/>
    </xf>
    <xf numFmtId="165" fontId="0" fillId="0" borderId="0" xfId="0" applyNumberFormat="1"/>
  </cellXfs>
  <cellStyles count="1">
    <cellStyle name="Normal" xfId="0" builtinId="0"/>
  </cellStyles>
  <dxfs count="26">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5" formatCode="&quot;₹&quot;\ #,##0.00"/>
      <alignment horizontal="left" vertical="bottom" textRotation="0" wrapText="0" indent="0" justifyLastLine="0" shrinkToFit="0" readingOrder="0"/>
    </dxf>
    <dxf>
      <numFmt numFmtId="30" formatCode="@"/>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64" formatCode="[$-14009]dd/mm/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[my_yaproject.xlsx]Pivot_Table!PivotTable5</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pieChart>
        <c:varyColors val="1"/>
        <c:ser>
          <c:idx val="0"/>
          <c:order val="0"/>
          <c:tx>
            <c:strRef>
              <c:f>Pivot_Table!$J$3</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6C-425E-A960-D09E66EF5B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6C-425E-A960-D09E66EF5B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76C-425E-A960-D09E66EF5B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76C-425E-A960-D09E66EF5BF1}"/>
              </c:ext>
            </c:extLst>
          </c:dPt>
          <c:cat>
            <c:strRef>
              <c:f>Pivot_Table!$I$4:$I$8</c:f>
              <c:strCache>
                <c:ptCount val="4"/>
                <c:pt idx="0">
                  <c:v>Cancelled</c:v>
                </c:pt>
                <c:pt idx="1">
                  <c:v>Delivered</c:v>
                </c:pt>
                <c:pt idx="2">
                  <c:v>Returned</c:v>
                </c:pt>
                <c:pt idx="3">
                  <c:v>(blank)</c:v>
                </c:pt>
              </c:strCache>
            </c:strRef>
          </c:cat>
          <c:val>
            <c:numRef>
              <c:f>Pivot_Table!$J$4:$J$8</c:f>
              <c:numCache>
                <c:formatCode>General</c:formatCode>
                <c:ptCount val="4"/>
                <c:pt idx="0">
                  <c:v>5</c:v>
                </c:pt>
                <c:pt idx="1">
                  <c:v>32</c:v>
                </c:pt>
                <c:pt idx="2">
                  <c:v>7</c:v>
                </c:pt>
              </c:numCache>
            </c:numRef>
          </c:val>
          <c:extLst>
            <c:ext xmlns:c16="http://schemas.microsoft.com/office/drawing/2014/chart" uri="{C3380CC4-5D6E-409C-BE32-E72D297353CC}">
              <c16:uniqueId val="{00000008-876C-425E-A960-D09E66EF5BF1}"/>
            </c:ext>
          </c:extLst>
        </c:ser>
        <c:ser>
          <c:idx val="1"/>
          <c:order val="1"/>
          <c:tx>
            <c:strRef>
              <c:f>Pivot_Table!$K$3</c:f>
              <c:strCache>
                <c:ptCount val="1"/>
                <c:pt idx="0">
                  <c:v>Sum of Real_Revenue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876C-425E-A960-D09E66EF5B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876C-425E-A960-D09E66EF5B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876C-425E-A960-D09E66EF5B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876C-425E-A960-D09E66EF5BF1}"/>
              </c:ext>
            </c:extLst>
          </c:dPt>
          <c:cat>
            <c:strRef>
              <c:f>Pivot_Table!$I$4:$I$8</c:f>
              <c:strCache>
                <c:ptCount val="4"/>
                <c:pt idx="0">
                  <c:v>Cancelled</c:v>
                </c:pt>
                <c:pt idx="1">
                  <c:v>Delivered</c:v>
                </c:pt>
                <c:pt idx="2">
                  <c:v>Returned</c:v>
                </c:pt>
                <c:pt idx="3">
                  <c:v>(blank)</c:v>
                </c:pt>
              </c:strCache>
            </c:strRef>
          </c:cat>
          <c:val>
            <c:numRef>
              <c:f>Pivot_Table!$K$4:$K$8</c:f>
              <c:numCache>
                <c:formatCode>General</c:formatCode>
                <c:ptCount val="4"/>
                <c:pt idx="0">
                  <c:v>0</c:v>
                </c:pt>
                <c:pt idx="1">
                  <c:v>512034.58</c:v>
                </c:pt>
                <c:pt idx="2">
                  <c:v>0</c:v>
                </c:pt>
              </c:numCache>
            </c:numRef>
          </c:val>
          <c:extLst>
            <c:ext xmlns:c16="http://schemas.microsoft.com/office/drawing/2014/chart" uri="{C3380CC4-5D6E-409C-BE32-E72D297353CC}">
              <c16:uniqueId val="{00000011-876C-425E-A960-D09E66EF5BF1}"/>
            </c:ext>
          </c:extLst>
        </c:ser>
        <c:dLbls>
          <c:showLegendKey val="0"/>
          <c:showVal val="0"/>
          <c:showCatName val="0"/>
          <c:showSerName val="0"/>
          <c:showPercent val="0"/>
          <c:showBubbleSize val="0"/>
          <c:showLeaderLines val="1"/>
        </c:dLbls>
        <c:firstSliceAng val="94"/>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[my_yaproject.xlsx]Pivot_Table!PivotTable6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Pivot_Table!$N$3</c:f>
              <c:strCache>
                <c:ptCount val="1"/>
                <c:pt idx="0">
                  <c:v>Total</c:v>
                </c:pt>
              </c:strCache>
            </c:strRef>
          </c:tx>
          <c:spPr>
            <a:solidFill>
              <a:schemeClr val="accent1"/>
            </a:solidFill>
            <a:ln>
              <a:noFill/>
            </a:ln>
            <a:effectLst/>
          </c:spPr>
          <c:invertIfNegative val="0"/>
          <c:cat>
            <c:strRef>
              <c:f>Pivot_Table!$M$4:$M$13</c:f>
              <c:strCache>
                <c:ptCount val="9"/>
                <c:pt idx="0">
                  <c:v>&lt;05-01-2025</c:v>
                </c:pt>
                <c:pt idx="1">
                  <c:v>Jan</c:v>
                </c:pt>
                <c:pt idx="2">
                  <c:v>Feb</c:v>
                </c:pt>
                <c:pt idx="3">
                  <c:v>Mar</c:v>
                </c:pt>
                <c:pt idx="4">
                  <c:v>Apr</c:v>
                </c:pt>
                <c:pt idx="5">
                  <c:v>May</c:v>
                </c:pt>
                <c:pt idx="6">
                  <c:v>Jun</c:v>
                </c:pt>
                <c:pt idx="7">
                  <c:v>Jul</c:v>
                </c:pt>
                <c:pt idx="8">
                  <c:v>Aug</c:v>
                </c:pt>
              </c:strCache>
            </c:strRef>
          </c:cat>
          <c:val>
            <c:numRef>
              <c:f>Pivot_Table!$N$4:$N$13</c:f>
              <c:numCache>
                <c:formatCode>General</c:formatCode>
                <c:ptCount val="9"/>
                <c:pt idx="1">
                  <c:v>38444.1</c:v>
                </c:pt>
                <c:pt idx="2">
                  <c:v>54224.18</c:v>
                </c:pt>
                <c:pt idx="3">
                  <c:v>72229.149999999994</c:v>
                </c:pt>
                <c:pt idx="4">
                  <c:v>82480</c:v>
                </c:pt>
                <c:pt idx="5">
                  <c:v>89927.35</c:v>
                </c:pt>
                <c:pt idx="6">
                  <c:v>85583.5</c:v>
                </c:pt>
                <c:pt idx="7">
                  <c:v>77347.200000000012</c:v>
                </c:pt>
                <c:pt idx="8">
                  <c:v>16254.1</c:v>
                </c:pt>
              </c:numCache>
            </c:numRef>
          </c:val>
          <c:extLst>
            <c:ext xmlns:c16="http://schemas.microsoft.com/office/drawing/2014/chart" uri="{C3380CC4-5D6E-409C-BE32-E72D297353CC}">
              <c16:uniqueId val="{00000000-0580-4893-B809-6E19E7D57672}"/>
            </c:ext>
          </c:extLst>
        </c:ser>
        <c:dLbls>
          <c:showLegendKey val="0"/>
          <c:showVal val="0"/>
          <c:showCatName val="0"/>
          <c:showSerName val="0"/>
          <c:showPercent val="0"/>
          <c:showBubbleSize val="0"/>
        </c:dLbls>
        <c:gapWidth val="182"/>
        <c:axId val="865228080"/>
        <c:axId val="865228560"/>
      </c:barChart>
      <c:catAx>
        <c:axId val="8652280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228560"/>
        <c:crosses val="autoZero"/>
        <c:auto val="1"/>
        <c:lblAlgn val="ctr"/>
        <c:lblOffset val="100"/>
        <c:noMultiLvlLbl val="0"/>
      </c:catAx>
      <c:valAx>
        <c:axId val="8652285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228080"/>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[my_yaproject.xlsx]Pivot_Table!PivotTable4</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bg1"/>
          </a:solidFill>
        </a:ln>
        <a:effectLst/>
        <a:sp3d>
          <a:contourClr>
            <a:schemeClr val="bg1"/>
          </a:contourClr>
        </a:sp3d>
      </c:spPr>
    </c:sideWall>
    <c:backWall>
      <c:thickness val="0"/>
      <c:spPr>
        <a:noFill/>
        <a:ln>
          <a:solidFill>
            <a:schemeClr val="bg1"/>
          </a:solidFill>
        </a:ln>
        <a:effectLst/>
        <a:sp3d>
          <a:contourClr>
            <a:schemeClr val="bg1"/>
          </a:contourClr>
        </a:sp3d>
      </c:spPr>
    </c:backWall>
    <c:plotArea>
      <c:layout/>
      <c:bar3DChart>
        <c:barDir val="col"/>
        <c:grouping val="stacked"/>
        <c:varyColors val="0"/>
        <c:ser>
          <c:idx val="0"/>
          <c:order val="0"/>
          <c:tx>
            <c:strRef>
              <c:f>Pivot_Table!$G$3</c:f>
              <c:strCache>
                <c:ptCount val="1"/>
                <c:pt idx="0">
                  <c:v>Total</c:v>
                </c:pt>
              </c:strCache>
            </c:strRef>
          </c:tx>
          <c:spPr>
            <a:solidFill>
              <a:schemeClr val="accent1"/>
            </a:solidFill>
            <a:ln>
              <a:noFill/>
            </a:ln>
            <a:effectLst/>
            <a:sp3d/>
          </c:spPr>
          <c:invertIfNegative val="0"/>
          <c:cat>
            <c:strRef>
              <c:f>Pivot_Table!$F$4:$F$10</c:f>
              <c:strCache>
                <c:ptCount val="6"/>
                <c:pt idx="0">
                  <c:v>Electronics</c:v>
                </c:pt>
                <c:pt idx="1">
                  <c:v>Mobiles &amp; Accessories</c:v>
                </c:pt>
                <c:pt idx="2">
                  <c:v>Home &amp; Kitchen</c:v>
                </c:pt>
                <c:pt idx="3">
                  <c:v>Fashion &amp; Ethnic</c:v>
                </c:pt>
                <c:pt idx="4">
                  <c:v>Beauty &amp; Grooming</c:v>
                </c:pt>
                <c:pt idx="5">
                  <c:v>(blank)</c:v>
                </c:pt>
              </c:strCache>
            </c:strRef>
          </c:cat>
          <c:val>
            <c:numRef>
              <c:f>Pivot_Table!$G$4:$G$10</c:f>
              <c:numCache>
                <c:formatCode>"₹"\ #,##0.00</c:formatCode>
                <c:ptCount val="6"/>
                <c:pt idx="0">
                  <c:v>352108.08</c:v>
                </c:pt>
                <c:pt idx="1">
                  <c:v>72126.399999999994</c:v>
                </c:pt>
                <c:pt idx="2">
                  <c:v>38090</c:v>
                </c:pt>
                <c:pt idx="3">
                  <c:v>37198.1</c:v>
                </c:pt>
                <c:pt idx="4">
                  <c:v>12512</c:v>
                </c:pt>
              </c:numCache>
            </c:numRef>
          </c:val>
          <c:extLst>
            <c:ext xmlns:c16="http://schemas.microsoft.com/office/drawing/2014/chart" uri="{C3380CC4-5D6E-409C-BE32-E72D297353CC}">
              <c16:uniqueId val="{00000000-637F-4F5D-9EFE-BADCC7109CB4}"/>
            </c:ext>
          </c:extLst>
        </c:ser>
        <c:dLbls>
          <c:showLegendKey val="0"/>
          <c:showVal val="0"/>
          <c:showCatName val="0"/>
          <c:showSerName val="0"/>
          <c:showPercent val="0"/>
          <c:showBubbleSize val="0"/>
        </c:dLbls>
        <c:gapWidth val="150"/>
        <c:shape val="box"/>
        <c:axId val="223020592"/>
        <c:axId val="223021072"/>
        <c:axId val="0"/>
      </c:bar3DChart>
      <c:catAx>
        <c:axId val="22302059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21072"/>
        <c:crosses val="autoZero"/>
        <c:auto val="1"/>
        <c:lblAlgn val="ctr"/>
        <c:lblOffset val="100"/>
        <c:noMultiLvlLbl val="0"/>
      </c:catAx>
      <c:valAx>
        <c:axId val="223021072"/>
        <c:scaling>
          <c:orientation val="minMax"/>
        </c:scaling>
        <c:delete val="0"/>
        <c:axPos val="l"/>
        <c:majorGridlines>
          <c:spPr>
            <a:ln w="9525" cap="flat" cmpd="sng" algn="ctr">
              <a:solidFill>
                <a:schemeClr val="bg1"/>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02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524692</xdr:colOff>
      <xdr:row>22</xdr:row>
      <xdr:rowOff>166699</xdr:rowOff>
    </xdr:from>
    <xdr:to>
      <xdr:col>16</xdr:col>
      <xdr:colOff>381002</xdr:colOff>
      <xdr:row>38</xdr:row>
      <xdr:rowOff>92365</xdr:rowOff>
    </xdr:to>
    <xdr:graphicFrame macro="">
      <xdr:nvGraphicFramePr>
        <xdr:cNvPr id="3" name="Chart 2">
          <a:extLst>
            <a:ext uri="{FF2B5EF4-FFF2-40B4-BE49-F238E27FC236}">
              <a16:creationId xmlns:a16="http://schemas.microsoft.com/office/drawing/2014/main" id="{256312A9-6D32-46C7-9338-015E64E22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195611</xdr:colOff>
      <xdr:row>6</xdr:row>
      <xdr:rowOff>165380</xdr:rowOff>
    </xdr:from>
    <xdr:to>
      <xdr:col>16</xdr:col>
      <xdr:colOff>161637</xdr:colOff>
      <xdr:row>21</xdr:row>
      <xdr:rowOff>165380</xdr:rowOff>
    </xdr:to>
    <xdr:graphicFrame macro="">
      <xdr:nvGraphicFramePr>
        <xdr:cNvPr id="4" name="Chart 3">
          <a:extLst>
            <a:ext uri="{FF2B5EF4-FFF2-40B4-BE49-F238E27FC236}">
              <a16:creationId xmlns:a16="http://schemas.microsoft.com/office/drawing/2014/main" id="{F78D8F3A-10AB-4180-A6C0-43693BAA5D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24377</xdr:colOff>
      <xdr:row>1</xdr:row>
      <xdr:rowOff>28754</xdr:rowOff>
    </xdr:from>
    <xdr:to>
      <xdr:col>4</xdr:col>
      <xdr:colOff>173181</xdr:colOff>
      <xdr:row>4</xdr:row>
      <xdr:rowOff>158149</xdr:rowOff>
    </xdr:to>
    <xdr:sp macro="" textlink="">
      <xdr:nvSpPr>
        <xdr:cNvPr id="19" name="Rectangle: Rounded Corners 18">
          <a:extLst>
            <a:ext uri="{FF2B5EF4-FFF2-40B4-BE49-F238E27FC236}">
              <a16:creationId xmlns:a16="http://schemas.microsoft.com/office/drawing/2014/main" id="{80DF0B2D-A914-242C-87AE-DE9C333B1706}"/>
            </a:ext>
          </a:extLst>
        </xdr:cNvPr>
        <xdr:cNvSpPr/>
      </xdr:nvSpPr>
      <xdr:spPr>
        <a:xfrm>
          <a:off x="636286" y="213481"/>
          <a:ext cx="1984531" cy="68357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Total Revenue (₹) </a:t>
          </a:r>
          <a:endParaRPr lang="en-IN" sz="1100"/>
        </a:p>
      </xdr:txBody>
    </xdr:sp>
    <xdr:clientData/>
  </xdr:twoCellAnchor>
  <xdr:twoCellAnchor>
    <xdr:from>
      <xdr:col>5</xdr:col>
      <xdr:colOff>277743</xdr:colOff>
      <xdr:row>1</xdr:row>
      <xdr:rowOff>87608</xdr:rowOff>
    </xdr:from>
    <xdr:to>
      <xdr:col>8</xdr:col>
      <xdr:colOff>461816</xdr:colOff>
      <xdr:row>4</xdr:row>
      <xdr:rowOff>168389</xdr:rowOff>
    </xdr:to>
    <xdr:sp macro="" textlink="">
      <xdr:nvSpPr>
        <xdr:cNvPr id="20" name="Rectangle: Rounded Corners 19">
          <a:extLst>
            <a:ext uri="{FF2B5EF4-FFF2-40B4-BE49-F238E27FC236}">
              <a16:creationId xmlns:a16="http://schemas.microsoft.com/office/drawing/2014/main" id="{B82A4F05-B024-4B90-BADF-717D4A9017B0}"/>
            </a:ext>
          </a:extLst>
        </xdr:cNvPr>
        <xdr:cNvSpPr/>
      </xdr:nvSpPr>
      <xdr:spPr>
        <a:xfrm>
          <a:off x="3337288" y="272335"/>
          <a:ext cx="2019801" cy="6349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a:t>Total Orders</a:t>
          </a:r>
          <a:endParaRPr lang="en-IN" sz="1100"/>
        </a:p>
      </xdr:txBody>
    </xdr:sp>
    <xdr:clientData/>
  </xdr:twoCellAnchor>
  <xdr:twoCellAnchor>
    <xdr:from>
      <xdr:col>10</xdr:col>
      <xdr:colOff>375408</xdr:colOff>
      <xdr:row>1</xdr:row>
      <xdr:rowOff>52969</xdr:rowOff>
    </xdr:from>
    <xdr:to>
      <xdr:col>14</xdr:col>
      <xdr:colOff>253999</xdr:colOff>
      <xdr:row>5</xdr:row>
      <xdr:rowOff>46182</xdr:rowOff>
    </xdr:to>
    <xdr:sp macro="" textlink="">
      <xdr:nvSpPr>
        <xdr:cNvPr id="22" name="Rectangle: Rounded Corners 21">
          <a:extLst>
            <a:ext uri="{FF2B5EF4-FFF2-40B4-BE49-F238E27FC236}">
              <a16:creationId xmlns:a16="http://schemas.microsoft.com/office/drawing/2014/main" id="{D86B2B1A-D0C6-481C-9EE6-9345274CCB8E}"/>
            </a:ext>
          </a:extLst>
        </xdr:cNvPr>
        <xdr:cNvSpPr/>
      </xdr:nvSpPr>
      <xdr:spPr>
        <a:xfrm>
          <a:off x="6494499" y="237696"/>
          <a:ext cx="2326227" cy="73212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a:t>Average Order Value (₹)</a:t>
          </a:r>
        </a:p>
        <a:p>
          <a:pPr algn="l"/>
          <a:endParaRPr lang="en-IN" sz="1100"/>
        </a:p>
      </xdr:txBody>
    </xdr:sp>
    <xdr:clientData/>
  </xdr:twoCellAnchor>
  <xdr:oneCellAnchor>
    <xdr:from>
      <xdr:col>20</xdr:col>
      <xdr:colOff>540327</xdr:colOff>
      <xdr:row>53</xdr:row>
      <xdr:rowOff>96982</xdr:rowOff>
    </xdr:from>
    <xdr:ext cx="184731" cy="264560"/>
    <xdr:sp macro="" textlink="">
      <xdr:nvSpPr>
        <xdr:cNvPr id="23" name="TextBox 22">
          <a:extLst>
            <a:ext uri="{FF2B5EF4-FFF2-40B4-BE49-F238E27FC236}">
              <a16:creationId xmlns:a16="http://schemas.microsoft.com/office/drawing/2014/main" id="{F102A0AA-28DE-C285-3A77-FEE0962D9BFF}"/>
            </a:ext>
          </a:extLst>
        </xdr:cNvPr>
        <xdr:cNvSpPr txBox="1"/>
      </xdr:nvSpPr>
      <xdr:spPr>
        <a:xfrm>
          <a:off x="12732327" y="96427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xdr:col>
      <xdr:colOff>451362</xdr:colOff>
      <xdr:row>2</xdr:row>
      <xdr:rowOff>111164</xdr:rowOff>
    </xdr:from>
    <xdr:to>
      <xdr:col>3</xdr:col>
      <xdr:colOff>346364</xdr:colOff>
      <xdr:row>4</xdr:row>
      <xdr:rowOff>92364</xdr:rowOff>
    </xdr:to>
    <xdr:sp macro="" textlink="Pivot_Table!G10">
      <xdr:nvSpPr>
        <xdr:cNvPr id="24" name="TextBox 23">
          <a:extLst>
            <a:ext uri="{FF2B5EF4-FFF2-40B4-BE49-F238E27FC236}">
              <a16:creationId xmlns:a16="http://schemas.microsoft.com/office/drawing/2014/main" id="{2EEE4D36-EB24-5EA7-C0C4-9052448256BB}"/>
            </a:ext>
          </a:extLst>
        </xdr:cNvPr>
        <xdr:cNvSpPr txBox="1"/>
      </xdr:nvSpPr>
      <xdr:spPr>
        <a:xfrm>
          <a:off x="1063271" y="480619"/>
          <a:ext cx="1118820" cy="350654"/>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962BFD-BF65-4035-B75C-8A60F019DDB2}" type="TxLink">
            <a:rPr lang="en-US" sz="1100" b="0" i="0" u="none" strike="noStrike" baseline="0">
              <a:solidFill>
                <a:schemeClr val="bg1"/>
              </a:solidFill>
              <a:latin typeface="Calibri"/>
              <a:ea typeface="Calibri"/>
              <a:cs typeface="Calibri"/>
            </a:rPr>
            <a:pPr algn="ctr"/>
            <a:t>₹ 5,12,034.58</a:t>
          </a:fld>
          <a:endParaRPr lang="en-US" baseline="0">
            <a:solidFill>
              <a:schemeClr val="bg1"/>
            </a:solidFill>
          </a:endParaRPr>
        </a:p>
      </xdr:txBody>
    </xdr:sp>
    <xdr:clientData/>
  </xdr:twoCellAnchor>
  <xdr:twoCellAnchor>
    <xdr:from>
      <xdr:col>6</xdr:col>
      <xdr:colOff>172490</xdr:colOff>
      <xdr:row>2</xdr:row>
      <xdr:rowOff>144610</xdr:rowOff>
    </xdr:from>
    <xdr:to>
      <xdr:col>7</xdr:col>
      <xdr:colOff>584026</xdr:colOff>
      <xdr:row>4</xdr:row>
      <xdr:rowOff>11546</xdr:rowOff>
    </xdr:to>
    <xdr:sp macro="" textlink="Pivot_Table!J8">
      <xdr:nvSpPr>
        <xdr:cNvPr id="5" name="TextBox 4">
          <a:extLst>
            <a:ext uri="{FF2B5EF4-FFF2-40B4-BE49-F238E27FC236}">
              <a16:creationId xmlns:a16="http://schemas.microsoft.com/office/drawing/2014/main" id="{62D56420-249E-F83E-A8DE-8C813F720C89}"/>
            </a:ext>
          </a:extLst>
        </xdr:cNvPr>
        <xdr:cNvSpPr txBox="1"/>
      </xdr:nvSpPr>
      <xdr:spPr>
        <a:xfrm>
          <a:off x="3843945" y="514065"/>
          <a:ext cx="1023445" cy="236390"/>
        </a:xfrm>
        <a:prstGeom prst="rect">
          <a:avLst/>
        </a:prstGeom>
        <a:solidFill>
          <a:schemeClr val="accent1"/>
        </a:solidFill>
        <a:ln w="9525" cmpd="sng">
          <a:solidFill>
            <a:schemeClr val="accent1"/>
          </a:solidFill>
        </a:ln>
      </xdr:spPr>
      <xdr:style>
        <a:lnRef idx="0">
          <a:scrgbClr r="0" g="0" b="0"/>
        </a:lnRef>
        <a:fillRef idx="1001">
          <a:schemeClr val="lt1"/>
        </a:fillRef>
        <a:effectRef idx="0">
          <a:scrgbClr r="0" g="0" b="0"/>
        </a:effectRef>
        <a:fontRef idx="minor">
          <a:schemeClr val="dk1"/>
        </a:fontRef>
      </xdr:style>
      <xdr:txBody>
        <a:bodyPr vertOverflow="clip" horzOverflow="clip" wrap="square" rtlCol="0" anchor="t"/>
        <a:lstStyle/>
        <a:p>
          <a:pPr algn="ctr"/>
          <a:fld id="{17B4A354-8141-4077-8F02-FE0A432D091D}" type="TxLink">
            <a:rPr lang="en-US" sz="1100" b="0" i="0" u="none" strike="noStrike">
              <a:solidFill>
                <a:schemeClr val="bg1"/>
              </a:solidFill>
              <a:latin typeface="Calibri"/>
              <a:ea typeface="Calibri"/>
              <a:cs typeface="Calibri"/>
            </a:rPr>
            <a:pPr algn="ctr"/>
            <a:t>44</a:t>
          </a:fld>
          <a:endParaRPr lang="en-IN" sz="1600">
            <a:solidFill>
              <a:schemeClr val="bg1"/>
            </a:solidFill>
          </a:endParaRPr>
        </a:p>
      </xdr:txBody>
    </xdr:sp>
    <xdr:clientData/>
  </xdr:twoCellAnchor>
  <xdr:twoCellAnchor>
    <xdr:from>
      <xdr:col>11</xdr:col>
      <xdr:colOff>265310</xdr:colOff>
      <xdr:row>2</xdr:row>
      <xdr:rowOff>125550</xdr:rowOff>
    </xdr:from>
    <xdr:to>
      <xdr:col>13</xdr:col>
      <xdr:colOff>276041</xdr:colOff>
      <xdr:row>4</xdr:row>
      <xdr:rowOff>115020</xdr:rowOff>
    </xdr:to>
    <xdr:sp macro="" textlink="Pivot_Table!D4">
      <xdr:nvSpPr>
        <xdr:cNvPr id="6" name="TextBox 5">
          <a:extLst>
            <a:ext uri="{FF2B5EF4-FFF2-40B4-BE49-F238E27FC236}">
              <a16:creationId xmlns:a16="http://schemas.microsoft.com/office/drawing/2014/main" id="{5ACC0A4E-BCB7-43CD-A469-32BD87EA4F3D}"/>
            </a:ext>
          </a:extLst>
        </xdr:cNvPr>
        <xdr:cNvSpPr txBox="1"/>
      </xdr:nvSpPr>
      <xdr:spPr>
        <a:xfrm>
          <a:off x="6996310" y="495005"/>
          <a:ext cx="1234549" cy="358924"/>
        </a:xfrm>
        <a:prstGeom prst="rect">
          <a:avLst/>
        </a:prstGeom>
        <a:solidFill>
          <a:schemeClr val="accent1"/>
        </a:solidFill>
        <a:ln w="9525" cmpd="sng">
          <a:solidFill>
            <a:schemeClr val="accent1"/>
          </a:solidFill>
        </a:ln>
      </xdr:spPr>
      <xdr:style>
        <a:lnRef idx="0">
          <a:scrgbClr r="0" g="0" b="0"/>
        </a:lnRef>
        <a:fillRef idx="1001">
          <a:schemeClr val="lt1"/>
        </a:fillRef>
        <a:effectRef idx="0">
          <a:scrgbClr r="0" g="0" b="0"/>
        </a:effectRef>
        <a:fontRef idx="minor">
          <a:schemeClr val="dk1"/>
        </a:fontRef>
      </xdr:style>
      <xdr:txBody>
        <a:bodyPr vertOverflow="clip" horzOverflow="clip" wrap="square" rtlCol="0" anchor="t"/>
        <a:lstStyle/>
        <a:p>
          <a:pPr algn="ctr"/>
          <a:fld id="{9102C74B-9D9C-4C60-8330-AE55F9F0E77C}" type="TxLink">
            <a:rPr lang="en-US" sz="1400" b="0" i="0" u="none" strike="noStrike">
              <a:solidFill>
                <a:schemeClr val="bg1"/>
              </a:solidFill>
              <a:latin typeface="Calibri"/>
              <a:ea typeface="Calibri"/>
              <a:cs typeface="Calibri"/>
            </a:rPr>
            <a:pPr algn="ctr"/>
            <a:t>₹ 11,637.15</a:t>
          </a:fld>
          <a:endParaRPr lang="en-IN" sz="2000">
            <a:solidFill>
              <a:schemeClr val="bg1"/>
            </a:solidFill>
          </a:endParaRPr>
        </a:p>
      </xdr:txBody>
    </xdr:sp>
    <xdr:clientData/>
  </xdr:twoCellAnchor>
  <xdr:twoCellAnchor editAs="oneCell">
    <xdr:from>
      <xdr:col>17</xdr:col>
      <xdr:colOff>286788</xdr:colOff>
      <xdr:row>21</xdr:row>
      <xdr:rowOff>80818</xdr:rowOff>
    </xdr:from>
    <xdr:to>
      <xdr:col>20</xdr:col>
      <xdr:colOff>392545</xdr:colOff>
      <xdr:row>35</xdr:row>
      <xdr:rowOff>69272</xdr:rowOff>
    </xdr:to>
    <mc:AlternateContent xmlns:mc="http://schemas.openxmlformats.org/markup-compatibility/2006" xmlns:a14="http://schemas.microsoft.com/office/drawing/2010/main">
      <mc:Choice Requires="a14">
        <xdr:graphicFrame macro="">
          <xdr:nvGraphicFramePr>
            <xdr:cNvPr id="15" name="CLEAN_NAMES">
              <a:extLst>
                <a:ext uri="{FF2B5EF4-FFF2-40B4-BE49-F238E27FC236}">
                  <a16:creationId xmlns:a16="http://schemas.microsoft.com/office/drawing/2014/main" id="{45D5B2CC-E2CD-D1F4-3AEC-E7439AAAC0CA}"/>
                </a:ext>
              </a:extLst>
            </xdr:cNvPr>
            <xdr:cNvGraphicFramePr/>
          </xdr:nvGraphicFramePr>
          <xdr:xfrm>
            <a:off x="0" y="0"/>
            <a:ext cx="0" cy="0"/>
          </xdr:xfrm>
          <a:graphic>
            <a:graphicData uri="http://schemas.microsoft.com/office/drawing/2010/slicer">
              <sle:slicer xmlns:sle="http://schemas.microsoft.com/office/drawing/2010/slicer" name="CLEAN_NAMES"/>
            </a:graphicData>
          </a:graphic>
        </xdr:graphicFrame>
      </mc:Choice>
      <mc:Fallback xmlns="">
        <xdr:sp macro="" textlink="">
          <xdr:nvSpPr>
            <xdr:cNvPr id="0" name=""/>
            <xdr:cNvSpPr>
              <a:spLocks noTextEdit="1"/>
            </xdr:cNvSpPr>
          </xdr:nvSpPr>
          <xdr:spPr>
            <a:xfrm>
              <a:off x="10689243" y="3960091"/>
              <a:ext cx="1941484" cy="2574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303875</xdr:colOff>
      <xdr:row>3</xdr:row>
      <xdr:rowOff>96174</xdr:rowOff>
    </xdr:from>
    <xdr:to>
      <xdr:col>20</xdr:col>
      <xdr:colOff>404091</xdr:colOff>
      <xdr:row>16</xdr:row>
      <xdr:rowOff>161637</xdr:rowOff>
    </xdr:to>
    <mc:AlternateContent xmlns:mc="http://schemas.openxmlformats.org/markup-compatibility/2006" xmlns:a14="http://schemas.microsoft.com/office/drawing/2010/main">
      <mc:Choice Requires="a14">
        <xdr:graphicFrame macro="">
          <xdr:nvGraphicFramePr>
            <xdr:cNvPr id="16" name="City">
              <a:extLst>
                <a:ext uri="{FF2B5EF4-FFF2-40B4-BE49-F238E27FC236}">
                  <a16:creationId xmlns:a16="http://schemas.microsoft.com/office/drawing/2014/main" id="{6912719B-5AB4-13D2-FE75-C73E98422E1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706330" y="650356"/>
              <a:ext cx="1935943" cy="2466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378691</xdr:colOff>
      <xdr:row>21</xdr:row>
      <xdr:rowOff>37061</xdr:rowOff>
    </xdr:from>
    <xdr:to>
      <xdr:col>24</xdr:col>
      <xdr:colOff>427182</xdr:colOff>
      <xdr:row>35</xdr:row>
      <xdr:rowOff>69272</xdr:rowOff>
    </xdr:to>
    <mc:AlternateContent xmlns:mc="http://schemas.openxmlformats.org/markup-compatibility/2006" xmlns:a14="http://schemas.microsoft.com/office/drawing/2010/main">
      <mc:Choice Requires="a14">
        <xdr:graphicFrame macro="">
          <xdr:nvGraphicFramePr>
            <xdr:cNvPr id="17" name="Direction">
              <a:extLst>
                <a:ext uri="{FF2B5EF4-FFF2-40B4-BE49-F238E27FC236}">
                  <a16:creationId xmlns:a16="http://schemas.microsoft.com/office/drawing/2014/main" id="{7EADA3E3-CEEB-EF88-FA0A-78975A81B55C}"/>
                </a:ext>
              </a:extLst>
            </xdr:cNvPr>
            <xdr:cNvGraphicFramePr/>
          </xdr:nvGraphicFramePr>
          <xdr:xfrm>
            <a:off x="0" y="0"/>
            <a:ext cx="0" cy="0"/>
          </xdr:xfrm>
          <a:graphic>
            <a:graphicData uri="http://schemas.microsoft.com/office/drawing/2010/slicer">
              <sle:slicer xmlns:sle="http://schemas.microsoft.com/office/drawing/2010/slicer" name="Direction"/>
            </a:graphicData>
          </a:graphic>
        </xdr:graphicFrame>
      </mc:Choice>
      <mc:Fallback xmlns="">
        <xdr:sp macro="" textlink="">
          <xdr:nvSpPr>
            <xdr:cNvPr id="0" name=""/>
            <xdr:cNvSpPr>
              <a:spLocks noTextEdit="1"/>
            </xdr:cNvSpPr>
          </xdr:nvSpPr>
          <xdr:spPr>
            <a:xfrm>
              <a:off x="13228782" y="3916334"/>
              <a:ext cx="1884218" cy="2618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288406</xdr:colOff>
      <xdr:row>3</xdr:row>
      <xdr:rowOff>91671</xdr:rowOff>
    </xdr:from>
    <xdr:to>
      <xdr:col>24</xdr:col>
      <xdr:colOff>288407</xdr:colOff>
      <xdr:row>16</xdr:row>
      <xdr:rowOff>82146</xdr:rowOff>
    </xdr:to>
    <mc:AlternateContent xmlns:mc="http://schemas.openxmlformats.org/markup-compatibility/2006" xmlns:a14="http://schemas.microsoft.com/office/drawing/2010/main">
      <mc:Choice Requires="a14">
        <xdr:graphicFrame macro="">
          <xdr:nvGraphicFramePr>
            <xdr:cNvPr id="18" name="Payment_Method">
              <a:extLst>
                <a:ext uri="{FF2B5EF4-FFF2-40B4-BE49-F238E27FC236}">
                  <a16:creationId xmlns:a16="http://schemas.microsoft.com/office/drawing/2014/main" id="{C02C0C43-D114-4C90-1E7D-71BE255C4939}"/>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3138497" y="645853"/>
              <a:ext cx="1835728" cy="23919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254000</xdr:colOff>
      <xdr:row>22</xdr:row>
      <xdr:rowOff>161636</xdr:rowOff>
    </xdr:from>
    <xdr:to>
      <xdr:col>8</xdr:col>
      <xdr:colOff>297542</xdr:colOff>
      <xdr:row>38</xdr:row>
      <xdr:rowOff>1</xdr:rowOff>
    </xdr:to>
    <xdr:graphicFrame macro="">
      <xdr:nvGraphicFramePr>
        <xdr:cNvPr id="27" name="Chart 26">
          <a:extLst>
            <a:ext uri="{FF2B5EF4-FFF2-40B4-BE49-F238E27FC236}">
              <a16:creationId xmlns:a16="http://schemas.microsoft.com/office/drawing/2014/main" id="{FC4320EB-18F3-4971-AC78-D92B4BE999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yash Bhole" refreshedDate="46315.015920370373" createdVersion="8" refreshedVersion="8" minRefreshableVersion="3" recordCount="47" xr:uid="{917B320D-6F6F-4F82-81CC-85966449FF6F}">
  <cacheSource type="worksheet">
    <worksheetSource name="Table1"/>
  </cacheSource>
  <cacheFields count="25">
    <cacheField name="Order_ID" numFmtId="0">
      <sharedItems containsBlank="1"/>
    </cacheField>
    <cacheField name="Order_Date" numFmtId="14">
      <sharedItems containsNonDate="0" containsDate="1" containsString="0" containsBlank="1" minDate="2025-01-05T00:00:00" maxDate="2025-08-19T00:00:00" count="46">
        <d v="2025-08-05T00:00:00"/>
        <d v="2025-07-14T00:00:00"/>
        <d v="2025-06-21T00:00:00"/>
        <d v="2025-05-30T00:00:00"/>
        <d v="2025-05-05T00:00:00"/>
        <d v="2025-04-14T00:00:00"/>
        <d v="2025-03-22T00:00:00"/>
        <d v="2025-03-04T00:00:00"/>
        <d v="2025-02-14T00:00:00"/>
        <d v="2025-01-26T00:00:00"/>
        <d v="2025-01-12T00:00:00"/>
        <d v="2025-08-18T00:00:00"/>
        <d v="2025-08-11T00:00:00"/>
        <d v="2025-07-30T00:00:00"/>
        <d v="2025-07-25T00:00:00"/>
        <d v="2025-07-19T00:00:00"/>
        <d v="2025-07-08T00:00:00"/>
        <d v="2025-07-02T00:00:00"/>
        <d v="2025-06-26T00:00:00"/>
        <d v="2025-06-15T00:00:00"/>
        <d v="2025-06-10T00:00:00"/>
        <d v="2025-06-04T00:00:00"/>
        <d v="2025-05-24T00:00:00"/>
        <d v="2025-05-18T00:00:00"/>
        <d v="2025-05-11T00:00:00"/>
        <d v="2025-04-30T00:00:00"/>
        <d v="2025-04-25T00:00:00"/>
        <d v="2025-04-19T00:00:00"/>
        <d v="2025-04-08T00:00:00"/>
        <d v="2025-04-02T00:00:00"/>
        <d v="2025-03-27T00:00:00"/>
        <d v="2025-03-17T00:00:00"/>
        <d v="2025-03-12T00:00:00"/>
        <d v="2025-03-09T00:00:00"/>
        <d v="2025-02-28T00:00:00"/>
        <d v="2025-02-22T00:00:00"/>
        <d v="2025-02-18T00:00:00"/>
        <d v="2025-02-10T00:00:00"/>
        <d v="2025-02-05T00:00:00"/>
        <d v="2025-02-01T00:00:00"/>
        <d v="2025-01-22T00:00:00"/>
        <d v="2025-01-18T00:00:00"/>
        <d v="2025-01-15T00:00:00"/>
        <d v="2025-01-08T00:00:00"/>
        <d v="2025-01-05T00:00:00"/>
        <m/>
      </sharedItems>
      <fieldGroup par="24"/>
    </cacheField>
    <cacheField name="CLEAN_NAMES" numFmtId="164">
      <sharedItems count="46">
        <s v="Rahul Sharma"/>
        <s v="Priya Patel"/>
        <s v="Sneha Reddy"/>
        <s v="Vikram Singh"/>
        <s v="Anita Roy"/>
        <s v="Kavita Das"/>
        <s v="Devkumar Nair"/>
        <s v="Pooja Mehta"/>
        <s v="Neha Sharma"/>
        <s v="Suresh Prasad"/>
        <s v="Swati Shah"/>
        <s v="Kiran Rao"/>
        <s v="Simran Kaur"/>
        <s v="Arjun Nair"/>
        <s v="Aarti Sharma"/>
        <s v="Tarun Mehra"/>
        <s v="Gautam Kashyap"/>
        <s v="Riya Sen"/>
        <s v="Alok Pandey"/>
        <s v="Megha Kapoor"/>
        <s v="Shalini Roy"/>
        <s v="Sanjay Dutt"/>
        <s v="Deepak Chawla"/>
        <s v="Siddharth Rao"/>
        <s v="Pankaj Tripathi"/>
        <s v="Tanvi Hegde"/>
        <s v="Ananya Mishra"/>
        <s v="Vishal Kulkarni"/>
        <s v="Shweta Shetty"/>
        <s v="Priyanka Chopra"/>
        <s v="Harish Rawat"/>
        <s v="Bhavna Shah"/>
        <s v="Ishita Dutta"/>
        <s v="Yashvardhan Rathore"/>
        <s v="Amit Verma"/>
        <s v="Rohit Deshmukh"/>
        <s v="Akash Gupta"/>
        <s v="Manish Joshi"/>
        <s v="Divya Pillai"/>
        <s v="Vijay Kumar"/>
        <s v="Rajesh Iyer"/>
        <s v="Nidhi Agarwal"/>
        <s v="Saurabh Kumar"/>
        <s v="Nitin Gadkari"/>
        <s v="Madhavan Nair"/>
        <s v=""/>
      </sharedItems>
    </cacheField>
    <cacheField name="Customer_Name" numFmtId="0">
      <sharedItems containsBlank="1"/>
    </cacheField>
    <cacheField name="City" numFmtId="0">
      <sharedItems containsBlank="1" count="37">
        <s v="Mumbai"/>
        <s v="Ahmedabad"/>
        <s v="Bengaluru"/>
        <s v="Jaipur"/>
        <s v="Kolkata"/>
        <s v="Bhubaneswar"/>
        <s v="Kochi"/>
        <s v="Pune"/>
        <s v="Chandigarh"/>
        <s v="Patna"/>
        <s v="Surat"/>
        <s v="Hyderabad"/>
        <s v="Amritsar"/>
        <s v="Thiruvananthapuram"/>
        <s v="Bhopal"/>
        <s v="Ludhiana"/>
        <s v="Vadodara"/>
        <s v="Ranchi"/>
        <s v="Kanpur"/>
        <s v="Nagpur"/>
        <s v="Guwahati"/>
        <s v="Varanasi"/>
        <s v="Delhi"/>
        <s v="Prayagraj"/>
        <s v="Mangaluru"/>
        <s v="Dehradun"/>
        <s v="Rajkot"/>
        <s v="Jamshedpur"/>
        <s v="Udaipur"/>
        <s v="Lucknow"/>
        <s v="Indore"/>
        <s v="Chennai"/>
        <s v="Visakhapatnam"/>
        <s v="Coimbatore"/>
        <s v="Agra"/>
        <s v="Madurai"/>
        <m/>
      </sharedItems>
    </cacheField>
    <cacheField name="Direction" numFmtId="0">
      <sharedItems containsBlank="1" count="6">
        <s v="West"/>
        <s v="South"/>
        <s v="North"/>
        <s v="East"/>
        <s v="Central"/>
        <m/>
      </sharedItems>
    </cacheField>
    <cacheField name="Clean_maacc" numFmtId="0">
      <sharedItems containsBlank="1" count="6">
        <s v="Mobiles &amp; Accessories"/>
        <s v="Fashion &amp; Ethnic"/>
        <s v="Electronics"/>
        <s v="Beauty &amp; Grooming"/>
        <s v="Home &amp; Kitchen"/>
        <m/>
      </sharedItems>
    </cacheField>
    <cacheField name="Product_Category" numFmtId="49">
      <sharedItems containsBlank="1" count="10">
        <s v=" mobiles &amp; accessories "/>
        <s v="FASHION &amp; ETHNIC"/>
        <s v=" ELECTRONICS "/>
        <s v=" beauty &amp; grooming "/>
        <s v="mobiles &amp; accessories"/>
        <s v=" home &amp; kitchen "/>
        <s v="Beauty &amp; Grooming"/>
        <s v="ELECTRONICS"/>
        <s v="Home &amp; Kitchen"/>
        <m/>
      </sharedItems>
    </cacheField>
    <cacheField name="Unit_Price" numFmtId="165">
      <sharedItems containsString="0" containsBlank="1" containsNumber="1" containsInteger="1" minValue="450" maxValue="85000"/>
    </cacheField>
    <cacheField name="Quantity" numFmtId="0">
      <sharedItems containsString="0" containsBlank="1" containsNumber="1" containsInteger="1" minValue="1" maxValue="4"/>
    </cacheField>
    <cacheField name="Discount_Pct" numFmtId="0">
      <sharedItems containsString="0" containsBlank="1" containsNumber="1" minValue="0" maxValue="0.2"/>
    </cacheField>
    <cacheField name="Payment_Method" numFmtId="0">
      <sharedItems containsBlank="1" count="6">
        <s v="UPI"/>
        <s v="Credit Card"/>
        <s v="Net Banking"/>
        <s v="COD"/>
        <s v="Debit Card"/>
        <m/>
      </sharedItems>
    </cacheField>
    <cacheField name="Order_Status" numFmtId="0">
      <sharedItems containsBlank="1" count="4">
        <s v="Delivered"/>
        <s v="Cancelled"/>
        <s v="Returned"/>
        <m/>
      </sharedItems>
    </cacheField>
    <cacheField name="Gross_revenue" numFmtId="0">
      <sharedItems containsString="0" containsBlank="1" containsNumber="1" containsInteger="1" minValue="1350" maxValue="85000"/>
    </cacheField>
    <cacheField name="Discount_Amount" numFmtId="0">
      <sharedItems containsString="0" containsBlank="1" containsNumber="1" minValue="0" maxValue="17000"/>
    </cacheField>
    <cacheField name="Total_Profit" numFmtId="0">
      <sharedItems containsString="0" containsBlank="1" containsNumber="1" minValue="1350" maxValue="68000"/>
    </cacheField>
    <cacheField name="Real_Revenue" numFmtId="165">
      <sharedItems containsString="0" containsBlank="1" containsNumber="1" minValue="0" maxValue="68000" count="35">
        <n v="13499.1"/>
        <n v="4748.1000000000004"/>
        <n v="46741.5"/>
        <n v="0"/>
        <n v="17479.080000000002"/>
        <n v="3060"/>
        <n v="28160"/>
        <n v="4590"/>
        <n v="5580"/>
        <n v="2755"/>
        <n v="7000"/>
        <n v="55250"/>
        <n v="10349.1"/>
        <n v="22800"/>
        <n v="6210"/>
        <n v="7600"/>
        <n v="2232"/>
        <n v="41649.15"/>
        <n v="30799.119999999999"/>
        <n v="2900"/>
        <n v="3570"/>
        <n v="8010"/>
        <n v="68000"/>
        <n v="4940"/>
        <n v="2070"/>
        <n v="33999.15"/>
        <n v="5120"/>
        <n v="35259.18"/>
        <n v="4455"/>
        <n v="4800"/>
        <n v="5265"/>
        <n v="20249.099999999999"/>
        <n v="2250"/>
        <n v="5100"/>
        <m/>
      </sharedItems>
    </cacheField>
    <cacheField name="Order_Flag" numFmtId="0">
      <sharedItems containsBlank="1"/>
    </cacheField>
    <cacheField name="testing" numFmtId="0">
      <sharedItems containsString="0" containsBlank="1" containsNumber="1" minValue="0" maxValue="147846.20000000001"/>
    </cacheField>
    <cacheField name="Column1" numFmtId="0">
      <sharedItems containsString="0" containsBlank="1" containsNumber="1" containsInteger="1" minValue="1" maxValue="1"/>
    </cacheField>
    <cacheField name="Column2" numFmtId="0">
      <sharedItems containsBlank="1" containsMixedTypes="1" containsNumber="1" containsInteger="1" minValue="14999" maxValue="14999"/>
    </cacheField>
    <cacheField name="Column3" numFmtId="0">
      <sharedItems containsNonDate="0" containsString="0" containsBlank="1"/>
    </cacheField>
    <cacheField name="Column4" numFmtId="0">
      <sharedItems containsNonDate="0" containsString="0" containsBlank="1"/>
    </cacheField>
    <cacheField name="Days (Order_Date)" numFmtId="0" databaseField="0">
      <fieldGroup base="1">
        <rangePr groupBy="days" startDate="2025-01-05T00:00:00" endDate="2025-08-19T00:00:00"/>
        <groupItems count="368">
          <s v="&lt;05-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9-08-2025"/>
        </groupItems>
      </fieldGroup>
    </cacheField>
    <cacheField name="Months (Order_Date)" numFmtId="0" databaseField="0">
      <fieldGroup base="1">
        <rangePr groupBy="months" startDate="2025-01-05T00:00:00" endDate="2025-08-19T00:00:00"/>
        <groupItems count="14">
          <s v="&lt;05-01-2025"/>
          <s v="Jan"/>
          <s v="Feb"/>
          <s v="Mar"/>
          <s v="Apr"/>
          <s v="May"/>
          <s v="Jun"/>
          <s v="Jul"/>
          <s v="Aug"/>
          <s v="Sep"/>
          <s v="Oct"/>
          <s v="Nov"/>
          <s v="Dec"/>
          <s v="&gt;19-08-2025"/>
        </groupItems>
      </fieldGroup>
    </cacheField>
  </cacheFields>
  <extLst>
    <ext xmlns:x14="http://schemas.microsoft.com/office/spreadsheetml/2009/9/main" uri="{725AE2AE-9491-48be-B2B4-4EB974FC3084}">
      <x14:pivotCacheDefinition pivotCacheId="290622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ORD-2001"/>
    <x v="0"/>
    <x v="0"/>
    <s v="  rahul sharma  "/>
    <x v="0"/>
    <x v="0"/>
    <x v="0"/>
    <x v="0"/>
    <n v="14999"/>
    <n v="1"/>
    <n v="0.1"/>
    <x v="0"/>
    <x v="0"/>
    <n v="14999"/>
    <n v="1499.9"/>
    <n v="13499.1"/>
    <x v="0"/>
    <s v="High Value"/>
    <n v="0"/>
    <n v="1"/>
    <s v="Deepak Chawla"/>
    <m/>
    <m/>
  </r>
  <r>
    <s v="ORD-2002"/>
    <x v="1"/>
    <x v="1"/>
    <s v="PRIYA PATEL"/>
    <x v="1"/>
    <x v="0"/>
    <x v="1"/>
    <x v="1"/>
    <n v="2499"/>
    <n v="2"/>
    <n v="0.05"/>
    <x v="1"/>
    <x v="0"/>
    <n v="4998"/>
    <n v="249.9"/>
    <n v="4748.1000000000004"/>
    <x v="1"/>
    <s v="Standard"/>
    <n v="4748.1000000000004"/>
    <m/>
    <n v="14999"/>
    <m/>
    <m/>
  </r>
  <r>
    <s v="ORD-2004"/>
    <x v="2"/>
    <x v="2"/>
    <s v="SNEHA REDDY"/>
    <x v="2"/>
    <x v="1"/>
    <x v="2"/>
    <x v="2"/>
    <n v="54990"/>
    <n v="1"/>
    <n v="0.15"/>
    <x v="2"/>
    <x v="0"/>
    <n v="54990"/>
    <n v="8248.5"/>
    <n v="46741.5"/>
    <x v="2"/>
    <s v="High Value"/>
    <n v="14999"/>
    <m/>
    <s v="#SPILL!"/>
    <m/>
    <m/>
  </r>
  <r>
    <s v="ORD-2005"/>
    <x v="3"/>
    <x v="3"/>
    <s v="vikram singh"/>
    <x v="3"/>
    <x v="2"/>
    <x v="3"/>
    <x v="3"/>
    <n v="450"/>
    <n v="3"/>
    <n v="0"/>
    <x v="0"/>
    <x v="1"/>
    <n v="1350"/>
    <n v="0"/>
    <n v="1350"/>
    <x v="3"/>
    <s v="Standard"/>
    <n v="0"/>
    <m/>
    <m/>
    <m/>
    <m/>
  </r>
  <r>
    <s v="ORD-2006"/>
    <x v="4"/>
    <x v="4"/>
    <s v="  ANITA ROY  "/>
    <x v="4"/>
    <x v="3"/>
    <x v="0"/>
    <x v="4"/>
    <n v="18999"/>
    <n v="1"/>
    <n v="0.08"/>
    <x v="0"/>
    <x v="0"/>
    <n v="18999"/>
    <n v="1519.92"/>
    <n v="17479.080000000002"/>
    <x v="4"/>
    <s v="High Value"/>
    <n v="0"/>
    <m/>
    <m/>
    <m/>
    <m/>
  </r>
  <r>
    <s v="ORD-2008"/>
    <x v="5"/>
    <x v="5"/>
    <s v="KAVITA DAS"/>
    <x v="5"/>
    <x v="3"/>
    <x v="4"/>
    <x v="5"/>
    <n v="4100"/>
    <n v="1"/>
    <n v="0.05"/>
    <x v="3"/>
    <x v="2"/>
    <n v="4100"/>
    <n v="205"/>
    <n v="3895"/>
    <x v="3"/>
    <s v="Standard"/>
    <n v="0"/>
    <m/>
    <m/>
    <m/>
    <m/>
  </r>
  <r>
    <s v="ORD-2009"/>
    <x v="6"/>
    <x v="6"/>
    <s v="  devkumar nair  "/>
    <x v="6"/>
    <x v="1"/>
    <x v="3"/>
    <x v="6"/>
    <n v="850"/>
    <n v="4"/>
    <n v="0.1"/>
    <x v="0"/>
    <x v="0"/>
    <n v="3400"/>
    <n v="340"/>
    <n v="3060"/>
    <x v="5"/>
    <s v="Standard"/>
    <n v="0"/>
    <m/>
    <m/>
    <m/>
    <m/>
  </r>
  <r>
    <s v="ORD-2010"/>
    <x v="7"/>
    <x v="7"/>
    <s v="POOJA MEHTA"/>
    <x v="7"/>
    <x v="0"/>
    <x v="2"/>
    <x v="7"/>
    <n v="32000"/>
    <n v="1"/>
    <n v="0.12"/>
    <x v="1"/>
    <x v="0"/>
    <n v="32000"/>
    <n v="3840"/>
    <n v="28160"/>
    <x v="6"/>
    <s v="High Value"/>
    <n v="28160"/>
    <m/>
    <m/>
    <m/>
    <m/>
  </r>
  <r>
    <s v="ORD-2012"/>
    <x v="8"/>
    <x v="8"/>
    <s v="neha sharma"/>
    <x v="8"/>
    <x v="2"/>
    <x v="1"/>
    <x v="1"/>
    <n v="1800"/>
    <n v="3"/>
    <n v="0.15"/>
    <x v="3"/>
    <x v="0"/>
    <n v="5400"/>
    <n v="810"/>
    <n v="4590"/>
    <x v="7"/>
    <s v="Standard"/>
    <n v="0"/>
    <m/>
    <m/>
    <m/>
    <m/>
  </r>
  <r>
    <s v="ORD-2013"/>
    <x v="9"/>
    <x v="9"/>
    <s v="  suresh PRASAD "/>
    <x v="9"/>
    <x v="3"/>
    <x v="4"/>
    <x v="8"/>
    <n v="6200"/>
    <n v="1"/>
    <n v="0.1"/>
    <x v="2"/>
    <x v="0"/>
    <n v="6200"/>
    <n v="620"/>
    <n v="5580"/>
    <x v="8"/>
    <s v="Standard"/>
    <n v="0"/>
    <m/>
    <m/>
    <m/>
    <m/>
  </r>
  <r>
    <s v="ORD-2014"/>
    <x v="10"/>
    <x v="10"/>
    <s v="SWATI SHAH"/>
    <x v="10"/>
    <x v="0"/>
    <x v="3"/>
    <x v="3"/>
    <n v="1290"/>
    <n v="2"/>
    <n v="0"/>
    <x v="0"/>
    <x v="2"/>
    <n v="2580"/>
    <n v="0"/>
    <n v="2580"/>
    <x v="3"/>
    <s v="Standard"/>
    <n v="0"/>
    <m/>
    <m/>
    <m/>
    <m/>
  </r>
  <r>
    <s v="ORD-2016"/>
    <x v="11"/>
    <x v="11"/>
    <s v="KIRAN RAO"/>
    <x v="11"/>
    <x v="1"/>
    <x v="1"/>
    <x v="1"/>
    <n v="1450"/>
    <n v="2"/>
    <n v="0.05"/>
    <x v="0"/>
    <x v="0"/>
    <n v="2900"/>
    <n v="145"/>
    <n v="2755"/>
    <x v="9"/>
    <s v="Standard"/>
    <n v="0"/>
    <m/>
    <m/>
    <m/>
    <m/>
  </r>
  <r>
    <s v="ORD-2017"/>
    <x v="12"/>
    <x v="12"/>
    <s v="  simran kaur "/>
    <x v="12"/>
    <x v="2"/>
    <x v="0"/>
    <x v="4"/>
    <n v="21999"/>
    <n v="1"/>
    <n v="0.1"/>
    <x v="4"/>
    <x v="1"/>
    <n v="21999"/>
    <n v="2199.9"/>
    <n v="19799.099999999999"/>
    <x v="3"/>
    <s v="High Value"/>
    <n v="0"/>
    <m/>
    <m/>
    <m/>
    <m/>
  </r>
  <r>
    <s v="ORD-2018"/>
    <x v="13"/>
    <x v="13"/>
    <s v="ARJUN NAIR"/>
    <x v="13"/>
    <x v="1"/>
    <x v="4"/>
    <x v="8"/>
    <n v="3500"/>
    <n v="2"/>
    <n v="0"/>
    <x v="3"/>
    <x v="0"/>
    <n v="7000"/>
    <n v="0"/>
    <n v="7000"/>
    <x v="10"/>
    <s v="Standard"/>
    <n v="0"/>
    <m/>
    <m/>
    <m/>
    <m/>
  </r>
  <r>
    <s v="ORD-2020"/>
    <x v="14"/>
    <x v="14"/>
    <s v="  AARTI SHARMA "/>
    <x v="14"/>
    <x v="4"/>
    <x v="2"/>
    <x v="7"/>
    <n v="65000"/>
    <n v="1"/>
    <n v="0.15"/>
    <x v="1"/>
    <x v="0"/>
    <n v="65000"/>
    <n v="9750"/>
    <n v="55250"/>
    <x v="11"/>
    <s v="High Value"/>
    <n v="0"/>
    <m/>
    <m/>
    <m/>
    <m/>
  </r>
  <r>
    <s v="ORD-2021"/>
    <x v="15"/>
    <x v="15"/>
    <s v="tarun mehra"/>
    <x v="15"/>
    <x v="2"/>
    <x v="1"/>
    <x v="1"/>
    <n v="2800"/>
    <n v="2"/>
    <n v="0.05"/>
    <x v="0"/>
    <x v="2"/>
    <n v="5600"/>
    <n v="280"/>
    <n v="5320"/>
    <x v="3"/>
    <s v="Standard"/>
    <n v="0"/>
    <m/>
    <m/>
    <m/>
    <m/>
  </r>
  <r>
    <s v="ORD-2022"/>
    <x v="16"/>
    <x v="16"/>
    <s v="  gautam kashyap  "/>
    <x v="16"/>
    <x v="0"/>
    <x v="0"/>
    <x v="0"/>
    <n v="11499"/>
    <n v="1"/>
    <n v="0.1"/>
    <x v="4"/>
    <x v="0"/>
    <n v="11499"/>
    <n v="1149.9000000000001"/>
    <n v="10349.1"/>
    <x v="12"/>
    <s v="High Value"/>
    <n v="10349.1"/>
    <m/>
    <m/>
    <m/>
    <m/>
  </r>
  <r>
    <s v="ORD-2024"/>
    <x v="17"/>
    <x v="17"/>
    <s v="  riya sen "/>
    <x v="17"/>
    <x v="3"/>
    <x v="3"/>
    <x v="6"/>
    <n v="980"/>
    <n v="2"/>
    <n v="0.15"/>
    <x v="0"/>
    <x v="1"/>
    <n v="1960"/>
    <n v="294"/>
    <n v="1666"/>
    <x v="3"/>
    <s v="Standard"/>
    <n v="0"/>
    <m/>
    <m/>
    <m/>
    <m/>
  </r>
  <r>
    <s v="ORD-2025"/>
    <x v="18"/>
    <x v="18"/>
    <s v="ALOK PANDEY"/>
    <x v="18"/>
    <x v="2"/>
    <x v="2"/>
    <x v="7"/>
    <n v="28500"/>
    <n v="1"/>
    <n v="0.2"/>
    <x v="2"/>
    <x v="0"/>
    <n v="28500"/>
    <n v="5700"/>
    <n v="22800"/>
    <x v="13"/>
    <s v="High Value"/>
    <n v="0"/>
    <m/>
    <m/>
    <m/>
    <m/>
  </r>
  <r>
    <s v="ORD-2026"/>
    <x v="19"/>
    <x v="19"/>
    <s v="megha kapoor"/>
    <x v="19"/>
    <x v="0"/>
    <x v="1"/>
    <x v="1"/>
    <n v="3450"/>
    <n v="2"/>
    <n v="0.1"/>
    <x v="0"/>
    <x v="0"/>
    <n v="6900"/>
    <n v="690"/>
    <n v="6210"/>
    <x v="14"/>
    <s v="Standard"/>
    <n v="6210"/>
    <m/>
    <m/>
    <m/>
    <m/>
  </r>
  <r>
    <s v="ORD-2028"/>
    <x v="20"/>
    <x v="20"/>
    <s v="SHALINI ROY"/>
    <x v="20"/>
    <x v="3"/>
    <x v="4"/>
    <x v="5"/>
    <n v="7600"/>
    <n v="1"/>
    <n v="0"/>
    <x v="1"/>
    <x v="0"/>
    <n v="7600"/>
    <n v="0"/>
    <n v="7600"/>
    <x v="15"/>
    <s v="Standard"/>
    <n v="0"/>
    <m/>
    <m/>
    <m/>
    <m/>
  </r>
  <r>
    <s v="ORD-2029"/>
    <x v="21"/>
    <x v="21"/>
    <s v="  sanjay dutt "/>
    <x v="21"/>
    <x v="2"/>
    <x v="3"/>
    <x v="6"/>
    <n v="620"/>
    <n v="4"/>
    <n v="0.1"/>
    <x v="0"/>
    <x v="0"/>
    <n v="2480"/>
    <n v="248"/>
    <n v="2232"/>
    <x v="16"/>
    <s v="Standard"/>
    <n v="0"/>
    <m/>
    <m/>
    <m/>
    <m/>
  </r>
  <r>
    <s v="ORD-2030"/>
    <x v="22"/>
    <x v="22"/>
    <s v="deepak chawla"/>
    <x v="22"/>
    <x v="2"/>
    <x v="2"/>
    <x v="7"/>
    <n v="48999"/>
    <n v="1"/>
    <n v="0.15"/>
    <x v="1"/>
    <x v="0"/>
    <n v="48999"/>
    <n v="7349.8499999999995"/>
    <n v="41649.15"/>
    <x v="17"/>
    <s v="High Value"/>
    <n v="0"/>
    <m/>
    <m/>
    <m/>
    <m/>
  </r>
  <r>
    <s v="ORD-2032"/>
    <x v="23"/>
    <x v="23"/>
    <s v="  siddharth rao "/>
    <x v="2"/>
    <x v="1"/>
    <x v="0"/>
    <x v="0"/>
    <n v="34999"/>
    <n v="1"/>
    <n v="0.12"/>
    <x v="2"/>
    <x v="0"/>
    <n v="34999"/>
    <n v="4199.88"/>
    <n v="30799.119999999999"/>
    <x v="18"/>
    <s v="High Value"/>
    <n v="0"/>
    <m/>
    <m/>
    <m/>
    <m/>
  </r>
  <r>
    <s v="ORD-2033"/>
    <x v="24"/>
    <x v="24"/>
    <s v="pankaj tripathi"/>
    <x v="23"/>
    <x v="2"/>
    <x v="4"/>
    <x v="8"/>
    <n v="2900"/>
    <n v="2"/>
    <n v="0.05"/>
    <x v="3"/>
    <x v="2"/>
    <n v="5800"/>
    <n v="290"/>
    <n v="5510"/>
    <x v="3"/>
    <s v="Standard"/>
    <n v="0"/>
    <m/>
    <m/>
    <m/>
    <m/>
  </r>
  <r>
    <s v="ORD-2034"/>
    <x v="25"/>
    <x v="25"/>
    <s v="  TANVI HEGDE "/>
    <x v="24"/>
    <x v="1"/>
    <x v="3"/>
    <x v="6"/>
    <n v="1450"/>
    <n v="2"/>
    <n v="0"/>
    <x v="0"/>
    <x v="0"/>
    <n v="2900"/>
    <n v="0"/>
    <n v="2900"/>
    <x v="19"/>
    <s v="Standard"/>
    <n v="0"/>
    <m/>
    <m/>
    <m/>
    <m/>
  </r>
  <r>
    <s v="ORD-2036"/>
    <x v="26"/>
    <x v="26"/>
    <s v="ANANYA MISHRA"/>
    <x v="4"/>
    <x v="3"/>
    <x v="1"/>
    <x v="1"/>
    <n v="4200"/>
    <n v="1"/>
    <n v="0.15"/>
    <x v="0"/>
    <x v="0"/>
    <n v="4200"/>
    <n v="630"/>
    <n v="3570"/>
    <x v="20"/>
    <s v="Standard"/>
    <n v="0"/>
    <m/>
    <m/>
    <m/>
    <m/>
  </r>
  <r>
    <s v="ORD-2037"/>
    <x v="27"/>
    <x v="27"/>
    <s v="  vishal kulkarni "/>
    <x v="7"/>
    <x v="0"/>
    <x v="0"/>
    <x v="4"/>
    <n v="29900"/>
    <n v="1"/>
    <n v="0.08"/>
    <x v="4"/>
    <x v="1"/>
    <n v="29900"/>
    <n v="2392"/>
    <n v="27508"/>
    <x v="3"/>
    <s v="High Value"/>
    <n v="0"/>
    <m/>
    <m/>
    <m/>
    <m/>
  </r>
  <r>
    <s v="ORD-2038"/>
    <x v="28"/>
    <x v="28"/>
    <s v="SHWETA SHETTY"/>
    <x v="0"/>
    <x v="0"/>
    <x v="4"/>
    <x v="8"/>
    <n v="8900"/>
    <n v="1"/>
    <n v="0.1"/>
    <x v="2"/>
    <x v="0"/>
    <n v="8900"/>
    <n v="890"/>
    <n v="8010"/>
    <x v="21"/>
    <s v="Standard"/>
    <n v="8010"/>
    <m/>
    <m/>
    <m/>
    <m/>
  </r>
  <r>
    <s v="ORD-2040"/>
    <x v="29"/>
    <x v="29"/>
    <s v="PRIYANKA CHOPRA"/>
    <x v="0"/>
    <x v="0"/>
    <x v="2"/>
    <x v="7"/>
    <n v="85000"/>
    <n v="1"/>
    <n v="0.2"/>
    <x v="1"/>
    <x v="0"/>
    <n v="85000"/>
    <n v="17000"/>
    <n v="68000"/>
    <x v="22"/>
    <s v="High Value"/>
    <n v="68000"/>
    <m/>
    <m/>
    <m/>
    <m/>
  </r>
  <r>
    <s v="ORD-2041"/>
    <x v="30"/>
    <x v="30"/>
    <s v="harish rawat"/>
    <x v="25"/>
    <x v="2"/>
    <x v="1"/>
    <x v="1"/>
    <n v="2600"/>
    <n v="2"/>
    <n v="0.05"/>
    <x v="0"/>
    <x v="0"/>
    <n v="5200"/>
    <n v="260"/>
    <n v="4940"/>
    <x v="23"/>
    <s v="Standard"/>
    <n v="0"/>
    <m/>
    <m/>
    <m/>
    <m/>
  </r>
  <r>
    <s v="ORD-2042"/>
    <x v="31"/>
    <x v="31"/>
    <s v="  bhavna shah "/>
    <x v="26"/>
    <x v="0"/>
    <x v="0"/>
    <x v="0"/>
    <n v="16499"/>
    <n v="1"/>
    <n v="0.1"/>
    <x v="4"/>
    <x v="2"/>
    <n v="16499"/>
    <n v="1649.9"/>
    <n v="14849.1"/>
    <x v="3"/>
    <s v="High Value"/>
    <n v="0"/>
    <m/>
    <m/>
    <m/>
    <m/>
  </r>
  <r>
    <s v="ORD-2044"/>
    <x v="32"/>
    <x v="32"/>
    <s v="  ishita dutta "/>
    <x v="27"/>
    <x v="3"/>
    <x v="3"/>
    <x v="6"/>
    <n v="1150"/>
    <n v="2"/>
    <n v="0.1"/>
    <x v="0"/>
    <x v="0"/>
    <n v="2300"/>
    <n v="230"/>
    <n v="2070"/>
    <x v="24"/>
    <s v="Standard"/>
    <n v="0"/>
    <m/>
    <m/>
    <m/>
    <m/>
  </r>
  <r>
    <s v="ORD-2045"/>
    <x v="33"/>
    <x v="33"/>
    <s v="YASHVARDHAN RATHORE"/>
    <x v="28"/>
    <x v="2"/>
    <x v="2"/>
    <x v="7"/>
    <n v="39999"/>
    <n v="1"/>
    <n v="0.15"/>
    <x v="1"/>
    <x v="0"/>
    <n v="39999"/>
    <n v="5999.8499999999995"/>
    <n v="33999.15"/>
    <x v="25"/>
    <s v="High Value"/>
    <n v="0"/>
    <m/>
    <m/>
    <m/>
    <m/>
  </r>
  <r>
    <s v="ORD-2003"/>
    <x v="34"/>
    <x v="34"/>
    <s v="  amit verma  "/>
    <x v="22"/>
    <x v="2"/>
    <x v="4"/>
    <x v="8"/>
    <n v="1850"/>
    <n v="1"/>
    <n v="0"/>
    <x v="3"/>
    <x v="2"/>
    <n v="1850"/>
    <n v="0"/>
    <n v="1850"/>
    <x v="3"/>
    <s v="Standard"/>
    <n v="0"/>
    <m/>
    <m/>
    <m/>
    <m/>
  </r>
  <r>
    <s v="ORD-2007"/>
    <x v="35"/>
    <x v="35"/>
    <s v="rohit deshmukh"/>
    <x v="19"/>
    <x v="0"/>
    <x v="1"/>
    <x v="1"/>
    <n v="3200"/>
    <n v="2"/>
    <n v="0.2"/>
    <x v="4"/>
    <x v="0"/>
    <n v="6400"/>
    <n v="1280"/>
    <n v="5120"/>
    <x v="26"/>
    <s v="High Value"/>
    <n v="5120"/>
    <m/>
    <m/>
    <m/>
    <m/>
  </r>
  <r>
    <s v="ORD-2011"/>
    <x v="36"/>
    <x v="36"/>
    <s v="AKASH GUPTA"/>
    <x v="29"/>
    <x v="2"/>
    <x v="0"/>
    <x v="0"/>
    <n v="12499"/>
    <n v="2"/>
    <n v="0.05"/>
    <x v="0"/>
    <x v="1"/>
    <n v="24998"/>
    <n v="1249.9000000000001"/>
    <n v="23748.1"/>
    <x v="3"/>
    <s v="High Value"/>
    <n v="0"/>
    <m/>
    <m/>
    <m/>
    <m/>
  </r>
  <r>
    <s v="ORD-2015"/>
    <x v="37"/>
    <x v="37"/>
    <s v="  manish joshi  "/>
    <x v="30"/>
    <x v="4"/>
    <x v="2"/>
    <x v="7"/>
    <n v="42999"/>
    <n v="1"/>
    <n v="0.18"/>
    <x v="1"/>
    <x v="0"/>
    <n v="42999"/>
    <n v="7739.82"/>
    <n v="35259.18"/>
    <x v="27"/>
    <s v="High Value"/>
    <n v="0"/>
    <m/>
    <m/>
    <m/>
    <m/>
  </r>
  <r>
    <s v="ORD-2019"/>
    <x v="38"/>
    <x v="38"/>
    <s v="divya pillai"/>
    <x v="31"/>
    <x v="1"/>
    <x v="3"/>
    <x v="3"/>
    <n v="1650"/>
    <n v="3"/>
    <n v="0.1"/>
    <x v="0"/>
    <x v="0"/>
    <n v="4950"/>
    <n v="495"/>
    <n v="4455"/>
    <x v="28"/>
    <s v="Standard"/>
    <n v="0"/>
    <m/>
    <m/>
    <m/>
    <m/>
  </r>
  <r>
    <s v="ORD-2023"/>
    <x v="39"/>
    <x v="39"/>
    <s v="VIJAY KUMAR"/>
    <x v="32"/>
    <x v="1"/>
    <x v="4"/>
    <x v="8"/>
    <n v="4800"/>
    <n v="1"/>
    <n v="0"/>
    <x v="3"/>
    <x v="0"/>
    <n v="4800"/>
    <n v="0"/>
    <n v="4800"/>
    <x v="29"/>
    <s v="Standard"/>
    <n v="0"/>
    <m/>
    <m/>
    <m/>
    <m/>
  </r>
  <r>
    <s v="ORD-2027"/>
    <x v="40"/>
    <x v="40"/>
    <s v="  rajesh iyer "/>
    <x v="33"/>
    <x v="1"/>
    <x v="0"/>
    <x v="4"/>
    <n v="15999"/>
    <n v="1"/>
    <n v="0.05"/>
    <x v="3"/>
    <x v="2"/>
    <n v="15999"/>
    <n v="799.95"/>
    <n v="15199.05"/>
    <x v="3"/>
    <s v="Standard"/>
    <n v="0"/>
    <m/>
    <m/>
    <m/>
    <m/>
  </r>
  <r>
    <s v="ORD-2031"/>
    <x v="41"/>
    <x v="41"/>
    <s v="NIDHI AGARWAL"/>
    <x v="34"/>
    <x v="2"/>
    <x v="1"/>
    <x v="1"/>
    <n v="1950"/>
    <n v="3"/>
    <n v="0.1"/>
    <x v="0"/>
    <x v="0"/>
    <n v="5850"/>
    <n v="585"/>
    <n v="5265"/>
    <x v="30"/>
    <s v="Standard"/>
    <n v="0"/>
    <m/>
    <m/>
    <m/>
    <m/>
  </r>
  <r>
    <s v="ORD-2035"/>
    <x v="42"/>
    <x v="42"/>
    <s v="saurabh KUMAR"/>
    <x v="9"/>
    <x v="3"/>
    <x v="2"/>
    <x v="7"/>
    <n v="22499"/>
    <n v="1"/>
    <n v="0.1"/>
    <x v="1"/>
    <x v="0"/>
    <n v="22499"/>
    <n v="2249.9"/>
    <n v="20249.099999999999"/>
    <x v="31"/>
    <s v="High Value"/>
    <n v="0"/>
    <m/>
    <m/>
    <m/>
    <m/>
  </r>
  <r>
    <s v="ORD-2039"/>
    <x v="43"/>
    <x v="43"/>
    <s v="  nitin gadkari "/>
    <x v="19"/>
    <x v="0"/>
    <x v="3"/>
    <x v="3"/>
    <n v="750"/>
    <n v="3"/>
    <n v="0"/>
    <x v="3"/>
    <x v="0"/>
    <n v="2250"/>
    <n v="0"/>
    <n v="2250"/>
    <x v="32"/>
    <s v="Standard"/>
    <n v="2250"/>
    <m/>
    <m/>
    <m/>
    <m/>
  </r>
  <r>
    <s v="ORD-2043"/>
    <x v="44"/>
    <x v="44"/>
    <s v="MADHAVAN NAIR"/>
    <x v="35"/>
    <x v="1"/>
    <x v="4"/>
    <x v="8"/>
    <n v="5100"/>
    <n v="1"/>
    <n v="0"/>
    <x v="3"/>
    <x v="0"/>
    <n v="5100"/>
    <n v="0"/>
    <n v="5100"/>
    <x v="33"/>
    <s v="Standard"/>
    <n v="0"/>
    <m/>
    <m/>
    <m/>
    <m/>
  </r>
  <r>
    <m/>
    <x v="45"/>
    <x v="45"/>
    <m/>
    <x v="36"/>
    <x v="5"/>
    <x v="5"/>
    <x v="9"/>
    <m/>
    <m/>
    <m/>
    <x v="5"/>
    <x v="3"/>
    <m/>
    <m/>
    <m/>
    <x v="34"/>
    <m/>
    <n v="147846.20000000001"/>
    <m/>
    <m/>
    <m/>
    <m/>
  </r>
  <r>
    <m/>
    <x v="45"/>
    <x v="45"/>
    <m/>
    <x v="36"/>
    <x v="5"/>
    <x v="5"/>
    <x v="9"/>
    <m/>
    <m/>
    <m/>
    <x v="5"/>
    <x v="3"/>
    <m/>
    <m/>
    <m/>
    <x v="3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3E4B7-B278-4F59-B00E-31E75DAB167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5">
    <pivotField dataField="1" showAll="0"/>
    <pivotField showAll="0">
      <items count="47">
        <item x="44"/>
        <item x="43"/>
        <item x="10"/>
        <item x="42"/>
        <item x="41"/>
        <item x="40"/>
        <item x="9"/>
        <item x="39"/>
        <item x="38"/>
        <item x="37"/>
        <item x="8"/>
        <item x="36"/>
        <item x="35"/>
        <item x="34"/>
        <item x="7"/>
        <item x="33"/>
        <item x="32"/>
        <item x="31"/>
        <item x="6"/>
        <item x="30"/>
        <item x="29"/>
        <item x="28"/>
        <item x="5"/>
        <item x="27"/>
        <item x="26"/>
        <item x="25"/>
        <item x="4"/>
        <item x="24"/>
        <item x="23"/>
        <item x="22"/>
        <item x="3"/>
        <item x="21"/>
        <item x="20"/>
        <item x="19"/>
        <item x="2"/>
        <item x="18"/>
        <item x="17"/>
        <item x="16"/>
        <item x="1"/>
        <item x="15"/>
        <item x="14"/>
        <item x="13"/>
        <item x="0"/>
        <item x="12"/>
        <item x="11"/>
        <item x="45"/>
        <item t="default"/>
      </items>
    </pivotField>
    <pivotField showAll="0">
      <items count="47">
        <item x="45"/>
        <item x="14"/>
        <item x="36"/>
        <item x="18"/>
        <item x="34"/>
        <item x="26"/>
        <item x="4"/>
        <item x="13"/>
        <item x="31"/>
        <item x="22"/>
        <item x="6"/>
        <item x="38"/>
        <item x="16"/>
        <item x="30"/>
        <item x="32"/>
        <item x="5"/>
        <item x="11"/>
        <item x="44"/>
        <item x="37"/>
        <item x="19"/>
        <item x="8"/>
        <item x="41"/>
        <item x="43"/>
        <item x="24"/>
        <item x="7"/>
        <item x="1"/>
        <item x="29"/>
        <item x="0"/>
        <item x="40"/>
        <item x="17"/>
        <item x="35"/>
        <item x="21"/>
        <item x="42"/>
        <item x="20"/>
        <item x="28"/>
        <item x="23"/>
        <item x="12"/>
        <item x="2"/>
        <item x="9"/>
        <item x="10"/>
        <item x="25"/>
        <item x="15"/>
        <item x="39"/>
        <item x="3"/>
        <item x="27"/>
        <item x="33"/>
        <item t="default"/>
      </items>
    </pivotField>
    <pivotField showAll="0"/>
    <pivotField showAll="0">
      <items count="38">
        <item x="34"/>
        <item x="1"/>
        <item x="12"/>
        <item x="2"/>
        <item x="14"/>
        <item x="5"/>
        <item x="8"/>
        <item h="1" x="31"/>
        <item x="33"/>
        <item x="25"/>
        <item x="22"/>
        <item x="20"/>
        <item x="11"/>
        <item x="30"/>
        <item x="3"/>
        <item x="27"/>
        <item x="18"/>
        <item x="6"/>
        <item x="4"/>
        <item x="29"/>
        <item x="15"/>
        <item x="35"/>
        <item x="24"/>
        <item x="0"/>
        <item x="19"/>
        <item x="9"/>
        <item x="23"/>
        <item x="7"/>
        <item x="26"/>
        <item x="17"/>
        <item x="10"/>
        <item x="13"/>
        <item x="28"/>
        <item x="16"/>
        <item x="21"/>
        <item x="32"/>
        <item x="36"/>
        <item t="default"/>
      </items>
    </pivotField>
    <pivotField showAll="0">
      <items count="7">
        <item x="4"/>
        <item x="3"/>
        <item x="2"/>
        <item x="1"/>
        <item x="0"/>
        <item x="5"/>
        <item t="default"/>
      </items>
    </pivotField>
    <pivotField showAll="0"/>
    <pivotField showAll="0"/>
    <pivotField showAll="0"/>
    <pivotField dataField="1" showAll="0"/>
    <pivotField showAll="0"/>
    <pivotField showAll="0">
      <items count="7">
        <item x="3"/>
        <item x="1"/>
        <item x="4"/>
        <item x="2"/>
        <item x="0"/>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Count of Order_ID" fld="0" subtotal="count" baseField="0" baseItem="0"/>
    <dataField name="Sum of Real_Revenue" fld="16" baseField="0" baseItem="0" numFmtId="165"/>
    <dataField name="Sum of Quantity" fld="9" baseField="0" baseItem="1"/>
    <dataField name="Average of Real_Revenue2" fld="16" subtotal="average" baseField="0"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44249B-9AB7-4309-BE13-77F68C75F4B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3" firstHeaderRow="1" firstDataRow="1" firstDataCol="1"/>
  <pivotFields count="25">
    <pivotField showAll="0"/>
    <pivotField axis="axisRow" showAll="0">
      <items count="47">
        <item x="44"/>
        <item x="43"/>
        <item x="10"/>
        <item x="42"/>
        <item x="41"/>
        <item x="40"/>
        <item x="9"/>
        <item x="39"/>
        <item x="38"/>
        <item x="37"/>
        <item x="8"/>
        <item x="36"/>
        <item x="35"/>
        <item x="34"/>
        <item x="7"/>
        <item x="33"/>
        <item x="32"/>
        <item x="31"/>
        <item x="6"/>
        <item x="30"/>
        <item x="29"/>
        <item x="28"/>
        <item x="5"/>
        <item x="27"/>
        <item x="26"/>
        <item x="25"/>
        <item x="4"/>
        <item x="24"/>
        <item x="23"/>
        <item x="22"/>
        <item x="3"/>
        <item x="21"/>
        <item x="20"/>
        <item x="19"/>
        <item x="2"/>
        <item x="18"/>
        <item x="17"/>
        <item x="16"/>
        <item x="1"/>
        <item x="15"/>
        <item x="14"/>
        <item x="13"/>
        <item x="0"/>
        <item x="12"/>
        <item x="11"/>
        <item x="45"/>
        <item t="default"/>
      </items>
    </pivotField>
    <pivotField showAll="0"/>
    <pivotField showAll="0"/>
    <pivotField showAll="0">
      <items count="38">
        <item x="34"/>
        <item x="1"/>
        <item x="12"/>
        <item x="2"/>
        <item x="14"/>
        <item x="5"/>
        <item x="8"/>
        <item x="31"/>
        <item x="33"/>
        <item x="25"/>
        <item x="22"/>
        <item x="20"/>
        <item x="11"/>
        <item x="30"/>
        <item x="3"/>
        <item x="27"/>
        <item x="18"/>
        <item x="6"/>
        <item x="4"/>
        <item x="29"/>
        <item x="15"/>
        <item x="35"/>
        <item x="24"/>
        <item x="0"/>
        <item x="19"/>
        <item x="9"/>
        <item x="23"/>
        <item x="7"/>
        <item x="26"/>
        <item x="17"/>
        <item x="10"/>
        <item x="13"/>
        <item x="28"/>
        <item x="16"/>
        <item x="21"/>
        <item x="32"/>
        <item x="36"/>
        <item t="default"/>
      </items>
    </pivotField>
    <pivotField showAll="0">
      <items count="7">
        <item h="1" x="4"/>
        <item x="3"/>
        <item h="1" x="2"/>
        <item h="1" x="1"/>
        <item h="1" x="0"/>
        <item h="1" x="5"/>
        <item t="default"/>
      </items>
    </pivotField>
    <pivotField showAll="0">
      <items count="7">
        <item x="3"/>
        <item x="2"/>
        <item x="1"/>
        <item x="4"/>
        <item x="0"/>
        <item x="5"/>
        <item t="default"/>
      </items>
    </pivotField>
    <pivotField showAll="0"/>
    <pivotField showAll="0"/>
    <pivotField showAll="0"/>
    <pivotField showAll="0"/>
    <pivotField showAll="0">
      <items count="7">
        <item x="3"/>
        <item x="1"/>
        <item x="4"/>
        <item x="2"/>
        <item x="0"/>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4"/>
    <field x="23"/>
    <field x="1"/>
  </rowFields>
  <rowItems count="10">
    <i>
      <x/>
    </i>
    <i>
      <x v="1"/>
    </i>
    <i>
      <x v="2"/>
    </i>
    <i>
      <x v="3"/>
    </i>
    <i>
      <x v="4"/>
    </i>
    <i>
      <x v="5"/>
    </i>
    <i>
      <x v="6"/>
    </i>
    <i>
      <x v="7"/>
    </i>
    <i>
      <x v="8"/>
    </i>
    <i t="grand">
      <x/>
    </i>
  </rowItems>
  <colItems count="1">
    <i/>
  </colItems>
  <dataFields count="1">
    <dataField name="Sum of Real_Revenue" fld="1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7E2132-509E-4ECF-9B62-D2C7510988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K8" firstHeaderRow="0" firstDataRow="1" firstDataCol="1"/>
  <pivotFields count="25">
    <pivotField dataField="1" showAll="0"/>
    <pivotField showAll="0">
      <items count="47">
        <item x="44"/>
        <item x="43"/>
        <item x="10"/>
        <item x="42"/>
        <item x="41"/>
        <item x="40"/>
        <item x="9"/>
        <item x="39"/>
        <item x="38"/>
        <item x="37"/>
        <item x="8"/>
        <item x="36"/>
        <item x="35"/>
        <item x="34"/>
        <item x="7"/>
        <item x="33"/>
        <item x="32"/>
        <item x="31"/>
        <item x="6"/>
        <item x="30"/>
        <item x="29"/>
        <item x="28"/>
        <item x="5"/>
        <item x="27"/>
        <item x="26"/>
        <item x="25"/>
        <item x="4"/>
        <item x="24"/>
        <item x="23"/>
        <item x="22"/>
        <item x="3"/>
        <item x="21"/>
        <item x="20"/>
        <item x="19"/>
        <item x="2"/>
        <item x="18"/>
        <item x="17"/>
        <item x="16"/>
        <item x="1"/>
        <item x="15"/>
        <item x="14"/>
        <item x="13"/>
        <item x="0"/>
        <item x="12"/>
        <item x="11"/>
        <item x="45"/>
        <item t="default"/>
      </items>
    </pivotField>
    <pivotField showAll="0">
      <items count="47">
        <item x="45"/>
        <item x="14"/>
        <item x="36"/>
        <item x="18"/>
        <item x="34"/>
        <item x="26"/>
        <item x="4"/>
        <item x="13"/>
        <item x="31"/>
        <item x="22"/>
        <item x="6"/>
        <item x="38"/>
        <item x="16"/>
        <item x="30"/>
        <item x="32"/>
        <item x="5"/>
        <item x="11"/>
        <item x="44"/>
        <item x="37"/>
        <item x="19"/>
        <item x="8"/>
        <item x="41"/>
        <item x="43"/>
        <item x="24"/>
        <item x="7"/>
        <item x="1"/>
        <item x="29"/>
        <item x="0"/>
        <item x="40"/>
        <item x="17"/>
        <item x="35"/>
        <item x="21"/>
        <item x="42"/>
        <item x="20"/>
        <item x="28"/>
        <item x="23"/>
        <item x="12"/>
        <item x="2"/>
        <item x="9"/>
        <item x="10"/>
        <item x="25"/>
        <item x="15"/>
        <item x="39"/>
        <item x="3"/>
        <item x="27"/>
        <item x="33"/>
        <item t="default"/>
      </items>
    </pivotField>
    <pivotField showAll="0"/>
    <pivotField showAll="0">
      <items count="38">
        <item x="34"/>
        <item x="1"/>
        <item x="12"/>
        <item x="2"/>
        <item x="14"/>
        <item x="5"/>
        <item x="8"/>
        <item h="1" x="31"/>
        <item x="33"/>
        <item x="25"/>
        <item x="22"/>
        <item x="20"/>
        <item x="11"/>
        <item x="30"/>
        <item x="3"/>
        <item x="27"/>
        <item x="18"/>
        <item x="6"/>
        <item x="4"/>
        <item x="29"/>
        <item x="15"/>
        <item x="35"/>
        <item x="24"/>
        <item x="0"/>
        <item x="19"/>
        <item x="9"/>
        <item x="23"/>
        <item x="7"/>
        <item x="26"/>
        <item x="17"/>
        <item x="10"/>
        <item x="13"/>
        <item x="28"/>
        <item x="16"/>
        <item x="21"/>
        <item x="32"/>
        <item x="36"/>
        <item t="default"/>
      </items>
    </pivotField>
    <pivotField showAll="0">
      <items count="7">
        <item x="4"/>
        <item x="3"/>
        <item x="2"/>
        <item x="1"/>
        <item x="0"/>
        <item x="5"/>
        <item t="default"/>
      </items>
    </pivotField>
    <pivotField showAll="0"/>
    <pivotField showAll="0"/>
    <pivotField showAll="0"/>
    <pivotField showAll="0"/>
    <pivotField showAll="0"/>
    <pivotField showAll="0">
      <items count="7">
        <item x="3"/>
        <item x="1"/>
        <item x="4"/>
        <item x="2"/>
        <item x="0"/>
        <item x="5"/>
        <item t="default"/>
      </items>
    </pivotField>
    <pivotField axis="axisRow" showAll="0">
      <items count="5">
        <item x="1"/>
        <item x="0"/>
        <item x="2"/>
        <item x="3"/>
        <item t="default"/>
      </items>
    </pivotField>
    <pivotField showAll="0"/>
    <pivotField showAll="0"/>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5">
    <i>
      <x/>
    </i>
    <i>
      <x v="1"/>
    </i>
    <i>
      <x v="2"/>
    </i>
    <i>
      <x v="3"/>
    </i>
    <i t="grand">
      <x/>
    </i>
  </rowItems>
  <colFields count="1">
    <field x="-2"/>
  </colFields>
  <colItems count="2">
    <i>
      <x/>
    </i>
    <i i="1">
      <x v="1"/>
    </i>
  </colItems>
  <dataFields count="2">
    <dataField name="Count of Order_ID" fld="0" subtotal="count" baseField="0" baseItem="0"/>
    <dataField name="Sum of Real_Revenue" fld="16" baseField="0" baseItem="0"/>
  </dataFields>
  <chartFormats count="10">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12" count="1" selected="0">
            <x v="0"/>
          </reference>
        </references>
      </pivotArea>
    </chartFormat>
    <chartFormat chart="3" format="19">
      <pivotArea type="data" outline="0" fieldPosition="0">
        <references count="2">
          <reference field="4294967294" count="1" selected="0">
            <x v="1"/>
          </reference>
          <reference field="12" count="1" selected="0">
            <x v="1"/>
          </reference>
        </references>
      </pivotArea>
    </chartFormat>
    <chartFormat chart="3" format="20">
      <pivotArea type="data" outline="0" fieldPosition="0">
        <references count="2">
          <reference field="4294967294" count="1" selected="0">
            <x v="1"/>
          </reference>
          <reference field="12" count="1" selected="0">
            <x v="2"/>
          </reference>
        </references>
      </pivotArea>
    </chartFormat>
    <chartFormat chart="3" format="21">
      <pivotArea type="data" outline="0" fieldPosition="0">
        <references count="2">
          <reference field="4294967294"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BEEC71-7268-45CE-8E07-FDD1A01A03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G10" firstHeaderRow="1" firstDataRow="1" firstDataCol="1"/>
  <pivotFields count="25">
    <pivotField showAll="0"/>
    <pivotField showAll="0">
      <items count="47">
        <item x="44"/>
        <item x="43"/>
        <item x="10"/>
        <item x="42"/>
        <item x="41"/>
        <item x="40"/>
        <item x="9"/>
        <item x="39"/>
        <item x="38"/>
        <item x="37"/>
        <item x="8"/>
        <item x="36"/>
        <item x="35"/>
        <item x="34"/>
        <item x="7"/>
        <item x="33"/>
        <item x="32"/>
        <item x="31"/>
        <item x="6"/>
        <item x="30"/>
        <item x="29"/>
        <item x="28"/>
        <item x="5"/>
        <item x="27"/>
        <item x="26"/>
        <item x="25"/>
        <item x="4"/>
        <item x="24"/>
        <item x="23"/>
        <item x="22"/>
        <item x="3"/>
        <item x="21"/>
        <item x="20"/>
        <item x="19"/>
        <item x="2"/>
        <item x="18"/>
        <item x="17"/>
        <item x="16"/>
        <item x="1"/>
        <item x="15"/>
        <item x="14"/>
        <item x="13"/>
        <item x="0"/>
        <item x="12"/>
        <item x="11"/>
        <item x="45"/>
        <item t="default"/>
      </items>
    </pivotField>
    <pivotField showAll="0" sortType="descending">
      <items count="47">
        <item x="45"/>
        <item x="14"/>
        <item x="36"/>
        <item x="18"/>
        <item x="34"/>
        <item x="26"/>
        <item x="4"/>
        <item x="13"/>
        <item x="31"/>
        <item x="22"/>
        <item x="6"/>
        <item x="38"/>
        <item x="16"/>
        <item x="30"/>
        <item x="32"/>
        <item x="5"/>
        <item x="11"/>
        <item x="44"/>
        <item x="37"/>
        <item x="19"/>
        <item x="8"/>
        <item x="41"/>
        <item x="43"/>
        <item x="24"/>
        <item x="7"/>
        <item x="1"/>
        <item x="29"/>
        <item x="0"/>
        <item x="40"/>
        <item x="17"/>
        <item x="35"/>
        <item x="21"/>
        <item x="42"/>
        <item x="20"/>
        <item x="28"/>
        <item x="23"/>
        <item x="12"/>
        <item x="2"/>
        <item x="9"/>
        <item x="10"/>
        <item x="25"/>
        <item x="15"/>
        <item x="39"/>
        <item x="3"/>
        <item x="27"/>
        <item x="33"/>
        <item t="default"/>
      </items>
      <autoSortScope>
        <pivotArea dataOnly="0" outline="0" fieldPosition="0">
          <references count="1">
            <reference field="4294967294" count="1" selected="0">
              <x v="0"/>
            </reference>
          </references>
        </pivotArea>
      </autoSortScope>
    </pivotField>
    <pivotField showAll="0"/>
    <pivotField showAll="0">
      <items count="38">
        <item x="34"/>
        <item x="1"/>
        <item x="12"/>
        <item x="2"/>
        <item x="14"/>
        <item x="5"/>
        <item x="8"/>
        <item h="1" x="31"/>
        <item x="33"/>
        <item x="25"/>
        <item x="22"/>
        <item x="20"/>
        <item x="11"/>
        <item x="30"/>
        <item x="3"/>
        <item x="27"/>
        <item x="18"/>
        <item x="6"/>
        <item x="4"/>
        <item x="29"/>
        <item x="15"/>
        <item x="35"/>
        <item x="24"/>
        <item x="0"/>
        <item x="19"/>
        <item x="9"/>
        <item x="23"/>
        <item x="7"/>
        <item x="26"/>
        <item x="17"/>
        <item x="10"/>
        <item x="13"/>
        <item x="28"/>
        <item x="16"/>
        <item x="21"/>
        <item x="32"/>
        <item x="36"/>
        <item t="default"/>
      </items>
    </pivotField>
    <pivotField showAll="0">
      <items count="7">
        <item x="4"/>
        <item x="3"/>
        <item x="2"/>
        <item x="1"/>
        <item x="0"/>
        <item x="5"/>
        <item t="default"/>
      </items>
    </pivotField>
    <pivotField axis="axisRow" showAll="0" sortType="descending">
      <items count="7">
        <item x="3"/>
        <item x="2"/>
        <item x="1"/>
        <item x="4"/>
        <item x="0"/>
        <item x="5"/>
        <item t="default"/>
      </items>
      <autoSortScope>
        <pivotArea dataOnly="0" outline="0" fieldPosition="0">
          <references count="1">
            <reference field="4294967294" count="1" selected="0">
              <x v="0"/>
            </reference>
          </references>
        </pivotArea>
      </autoSortScope>
    </pivotField>
    <pivotField showAll="0">
      <items count="11">
        <item x="3"/>
        <item x="2"/>
        <item x="5"/>
        <item x="0"/>
        <item x="6"/>
        <item x="7"/>
        <item x="1"/>
        <item x="8"/>
        <item x="4"/>
        <item x="9"/>
        <item t="default"/>
      </items>
    </pivotField>
    <pivotField showAll="0"/>
    <pivotField showAll="0"/>
    <pivotField showAll="0"/>
    <pivotField showAll="0">
      <items count="7">
        <item x="3"/>
        <item x="1"/>
        <item x="4"/>
        <item x="2"/>
        <item x="0"/>
        <item x="5"/>
        <item t="default"/>
      </items>
    </pivotField>
    <pivotField showAll="0"/>
    <pivotField showAll="0"/>
    <pivotField showAll="0"/>
    <pivotField showAll="0"/>
    <pivotField dataField="1" showAll="0">
      <items count="36">
        <item x="3"/>
        <item x="24"/>
        <item x="16"/>
        <item x="32"/>
        <item x="9"/>
        <item x="19"/>
        <item x="5"/>
        <item x="20"/>
        <item x="28"/>
        <item x="7"/>
        <item x="1"/>
        <item x="29"/>
        <item x="23"/>
        <item x="33"/>
        <item x="26"/>
        <item x="30"/>
        <item x="8"/>
        <item x="14"/>
        <item x="10"/>
        <item x="15"/>
        <item x="21"/>
        <item x="12"/>
        <item x="0"/>
        <item x="4"/>
        <item x="31"/>
        <item x="13"/>
        <item x="6"/>
        <item x="18"/>
        <item x="25"/>
        <item x="27"/>
        <item x="17"/>
        <item x="2"/>
        <item x="11"/>
        <item x="22"/>
        <item x="34"/>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7">
    <i>
      <x v="1"/>
    </i>
    <i>
      <x v="4"/>
    </i>
    <i>
      <x v="3"/>
    </i>
    <i>
      <x v="2"/>
    </i>
    <i>
      <x/>
    </i>
    <i>
      <x v="5"/>
    </i>
    <i t="grand">
      <x/>
    </i>
  </rowItems>
  <colItems count="1">
    <i/>
  </colItems>
  <dataFields count="1">
    <dataField name="Sum of Real_Revenue" fld="16" baseField="6" baseItem="0" numFmtId="165"/>
  </dataFields>
  <chartFormats count="2">
    <chartFormat chart="5"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2</v>
    <v>8</v>
    <v>0</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_NAMES" xr10:uid="{47DEDF48-5222-46C7-9BE8-275A083B72FB}" sourceName="CLEAN_NAMES">
  <pivotTables>
    <pivotTable tabId="4" name="PivotTable4"/>
    <pivotTable tabId="4" name="PivotTable2"/>
    <pivotTable tabId="4" name="PivotTable5"/>
  </pivotTables>
  <data>
    <tabular pivotCacheId="290622023">
      <items count="46">
        <i x="14" s="1"/>
        <i x="36" s="1"/>
        <i x="18" s="1"/>
        <i x="34" s="1"/>
        <i x="26" s="1"/>
        <i x="4" s="1"/>
        <i x="13" s="1"/>
        <i x="31" s="1"/>
        <i x="22" s="1"/>
        <i x="6" s="1"/>
        <i x="16" s="1"/>
        <i x="30" s="1"/>
        <i x="32" s="1"/>
        <i x="5" s="1"/>
        <i x="11" s="1"/>
        <i x="44" s="1"/>
        <i x="37" s="1"/>
        <i x="19" s="1"/>
        <i x="8" s="1"/>
        <i x="41" s="1"/>
        <i x="43" s="1"/>
        <i x="24" s="1"/>
        <i x="7" s="1"/>
        <i x="1" s="1"/>
        <i x="29" s="1"/>
        <i x="0" s="1"/>
        <i x="40" s="1"/>
        <i x="17" s="1"/>
        <i x="35" s="1"/>
        <i x="21" s="1"/>
        <i x="42" s="1"/>
        <i x="20" s="1"/>
        <i x="28" s="1"/>
        <i x="23" s="1"/>
        <i x="12" s="1"/>
        <i x="2" s="1"/>
        <i x="9" s="1"/>
        <i x="10" s="1"/>
        <i x="25" s="1"/>
        <i x="15" s="1"/>
        <i x="39" s="1"/>
        <i x="3" s="1"/>
        <i x="27" s="1"/>
        <i x="33" s="1"/>
        <i x="45" s="1" nd="1"/>
        <i x="3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24E6E34-AFBB-4E1A-A14A-D3FFBB370E0F}" sourceName="City">
  <pivotTables>
    <pivotTable tabId="4" name="PivotTable4"/>
    <pivotTable tabId="4" name="PivotTable2"/>
    <pivotTable tabId="4" name="PivotTable5"/>
  </pivotTables>
  <data>
    <tabular pivotCacheId="290622023">
      <items count="37">
        <i x="34" s="1"/>
        <i x="1" s="1"/>
        <i x="12" s="1"/>
        <i x="2" s="1"/>
        <i x="14" s="1"/>
        <i x="5" s="1"/>
        <i x="8" s="1"/>
        <i x="31"/>
        <i x="33" s="1"/>
        <i x="25" s="1"/>
        <i x="22" s="1"/>
        <i x="20" s="1"/>
        <i x="11" s="1"/>
        <i x="30" s="1"/>
        <i x="3" s="1"/>
        <i x="27" s="1"/>
        <i x="18" s="1"/>
        <i x="6" s="1"/>
        <i x="4" s="1"/>
        <i x="29" s="1"/>
        <i x="15" s="1"/>
        <i x="35" s="1"/>
        <i x="24" s="1"/>
        <i x="0" s="1"/>
        <i x="19" s="1"/>
        <i x="9" s="1"/>
        <i x="23" s="1"/>
        <i x="7" s="1"/>
        <i x="26" s="1"/>
        <i x="17" s="1"/>
        <i x="10" s="1"/>
        <i x="13" s="1"/>
        <i x="28" s="1"/>
        <i x="16" s="1"/>
        <i x="21" s="1"/>
        <i x="32" s="1"/>
        <i x="3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ion" xr10:uid="{D75602F1-D0B8-44A5-B9D1-A67E8F4872C4}" sourceName="Direction">
  <pivotTables>
    <pivotTable tabId="4" name="PivotTable4"/>
    <pivotTable tabId="4" name="PivotTable2"/>
    <pivotTable tabId="4" name="PivotTable5"/>
  </pivotTables>
  <data>
    <tabular pivotCacheId="290622023">
      <items count="6">
        <i x="4" s="1"/>
        <i x="3" s="1"/>
        <i x="2" s="1"/>
        <i x="1" s="1"/>
        <i x="0" s="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643A1E66-C06F-4AC9-B2C3-C8F186D5DE62}" sourceName="Payment_Method">
  <pivotTables>
    <pivotTable tabId="4" name="PivotTable4"/>
    <pivotTable tabId="4" name="PivotTable2"/>
    <pivotTable tabId="4" name="PivotTable5"/>
    <pivotTable tabId="4" name="PivotTable6"/>
  </pivotTables>
  <data>
    <tabular pivotCacheId="290622023">
      <items count="6">
        <i x="3" s="1"/>
        <i x="1" s="1"/>
        <i x="4" s="1"/>
        <i x="2"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EAN_NAMES" xr10:uid="{A88E4D0E-9EC8-4CCE-9472-53C09E33142B}" cache="Slicer_CLEAN_NAMES" caption="CLEAN_NAMES" rowHeight="234950"/>
  <slicer name="City" xr10:uid="{CC2FFC72-F337-47D5-888D-58043977986F}" cache="Slicer_City" caption="City" startItem="16" rowHeight="234950"/>
  <slicer name="Direction" xr10:uid="{1277711A-CB0F-494B-862A-575FBAAA6989}" cache="Slicer_Direction" caption="Direction" rowHeight="234950"/>
  <slicer name="Payment_Method" xr10:uid="{EC9C2794-AE2D-41F0-8A73-80C28C8277E6}" cache="Slicer_Payment_Method" caption="Payment_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AEB3D8-4E1B-49A1-85B2-5C3A8B081235}" name="Table2" displayName="Table2" ref="A3:W50" totalsRowShown="0">
  <autoFilter ref="A3:W50" xr:uid="{8CAEB3D8-4E1B-49A1-85B2-5C3A8B081235}"/>
  <tableColumns count="23">
    <tableColumn id="1" xr3:uid="{402E9617-00D4-4A35-9F93-794395967A12}" name="Order_ID"/>
    <tableColumn id="2" xr3:uid="{A75C9FFE-A6B0-4DBA-9B75-4654D7061D05}" name="Order_Date" dataDxfId="25"/>
    <tableColumn id="3" xr3:uid="{10276FFE-4DEE-4B2F-8CCF-E7B87D9C2FE1}" name="CLEAN_NAMES"/>
    <tableColumn id="4" xr3:uid="{B06A8BE2-CAC4-4B2F-8D8F-17D2BA22662B}" name="Customer_Name"/>
    <tableColumn id="5" xr3:uid="{B5D96048-6E39-4D44-99DF-7CB07D1CEE60}" name="City"/>
    <tableColumn id="6" xr3:uid="{1781DD8D-2BD7-4281-86EB-3C5C1F62BA85}" name="Direction"/>
    <tableColumn id="7" xr3:uid="{442F3E02-13FB-4438-89DE-DC2B14222BD8}" name="Clean_maacc"/>
    <tableColumn id="8" xr3:uid="{CE51D490-8353-4DB7-847C-76F9957DFAE3}" name="Product_Category"/>
    <tableColumn id="9" xr3:uid="{9EA98658-2DE0-465A-A6DB-7586B0319BD2}" name="Unit_Price"/>
    <tableColumn id="10" xr3:uid="{084430DD-1CC9-48EF-9129-49BC56CF0157}" name="Quantity"/>
    <tableColumn id="11" xr3:uid="{49AAFB02-F891-4F2F-B763-AB5CA12DD53A}" name="Discount_Pct"/>
    <tableColumn id="12" xr3:uid="{7E4E32F6-E883-4C36-A0B5-3FF09B3CB6D9}" name="Payment_Method"/>
    <tableColumn id="13" xr3:uid="{E44ED92E-130E-4BF2-AA33-A6D5A40BA0F4}" name="Order_Status"/>
    <tableColumn id="14" xr3:uid="{69EB6766-4C4D-4CB0-A739-44BD4F51CF85}" name="Gross_revenue"/>
    <tableColumn id="15" xr3:uid="{4890A24A-3726-404A-9B40-29D8CCAFF4DB}" name="Discount_Amount"/>
    <tableColumn id="16" xr3:uid="{E471D899-05C2-4DBE-B337-C4841240AD8E}" name="Total_Profit"/>
    <tableColumn id="17" xr3:uid="{60C560AB-9418-4439-9B74-E89BAFD117D5}" name="Real_Revenue"/>
    <tableColumn id="18" xr3:uid="{2B773275-108C-46E6-AFEA-E7B62997C1EC}" name="Order_Flag"/>
    <tableColumn id="19" xr3:uid="{5FE96F62-8CA6-44C2-990E-303B98269519}" name="testing"/>
    <tableColumn id="20" xr3:uid="{2441CB94-72AB-4171-9487-BC9F4ED75F34}" name="Column1"/>
    <tableColumn id="21" xr3:uid="{3C834267-BE3C-4998-80D7-F4CA01B4E1D8}" name="Column2"/>
    <tableColumn id="22" xr3:uid="{A1F5A119-CE02-4F37-B543-582D9A042C80}" name="Column3"/>
    <tableColumn id="23" xr3:uid="{F3C0FE4C-4A1D-4F59-A8C7-118D2768082B}" name="Column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C566A2-D1C2-4234-A059-BF8D548084B6}" name="Table1" displayName="Table1" ref="A1:W48" totalsRowShown="0" headerRowDxfId="24" dataDxfId="23">
  <autoFilter ref="A1:W48" xr:uid="{FEC566A2-D1C2-4234-A059-BF8D548084B6}"/>
  <tableColumns count="23">
    <tableColumn id="1" xr3:uid="{A773B408-E3F0-4238-810C-52B6EF41D7E2}" name="Order_ID" dataDxfId="22"/>
    <tableColumn id="2" xr3:uid="{CB489C58-3497-4B8E-962A-2715D8648C7D}" name="Order_Date" dataDxfId="21"/>
    <tableColumn id="3" xr3:uid="{732CE280-56B4-4F9A-9AC6-3E2EC5472DBB}" name="CLEAN_NAMES" dataDxfId="20">
      <calculatedColumnFormula>PROPER(TRIM(D2))</calculatedColumnFormula>
    </tableColumn>
    <tableColumn id="4" xr3:uid="{5AF60C96-BB04-4350-8BDA-608A72E94BEC}" name="Customer_Name" dataDxfId="19"/>
    <tableColumn id="5" xr3:uid="{E10F585D-4DD5-4B7F-81D6-A9AED026FDB2}" name="City" dataDxfId="18"/>
    <tableColumn id="6" xr3:uid="{7B54B8D6-1CC7-4360-8A47-50BE8C7AAC29}" name="Direction" dataDxfId="17"/>
    <tableColumn id="7" xr3:uid="{14674BC3-F4C1-42A4-A44D-CFC119260FF5}" name="Clean_maacc" dataDxfId="16"/>
    <tableColumn id="8" xr3:uid="{A98A32D1-F7C1-45B4-B079-F28981BD14B6}" name="Product_Category" dataDxfId="15"/>
    <tableColumn id="9" xr3:uid="{BB829E20-AB56-4D14-A55B-9BF8F35715E0}" name="Unit_Price" dataDxfId="14"/>
    <tableColumn id="10" xr3:uid="{B8C05E81-89DC-4763-BE26-2BFB6754EBC7}" name="Quantity" dataDxfId="13"/>
    <tableColumn id="11" xr3:uid="{FE319532-7D55-4E99-8853-48B08E5E87CB}" name="Discount_Pct" dataDxfId="12"/>
    <tableColumn id="12" xr3:uid="{6C93100A-5CE7-45F6-AE39-DB39C193BDC9}" name="Payment_Method" dataDxfId="11"/>
    <tableColumn id="13" xr3:uid="{832426C0-342D-4F3F-9F0D-C26BBFCA4070}" name="Order_Status" dataDxfId="10"/>
    <tableColumn id="14" xr3:uid="{66EBE600-FD31-41E8-A8F9-FBE07D3E4C0D}" name="Gross_revenue" dataDxfId="9"/>
    <tableColumn id="15" xr3:uid="{85D84CFB-18F8-4DD0-8A6D-C154D9F22085}" name="Discount_Amount" dataDxfId="8"/>
    <tableColumn id="16" xr3:uid="{5B48DB9F-9E5B-4601-8C71-ED67CC73DA62}" name="Total_Profit" dataDxfId="7"/>
    <tableColumn id="17" xr3:uid="{BFDE7C6D-3D2E-4D83-97DA-DBEF6E6C09A5}" name="Real_Revenue" dataDxfId="6"/>
    <tableColumn id="18" xr3:uid="{BB15DB6F-0311-47B4-9571-A512C893F914}" name="Order_Flag" dataDxfId="5"/>
    <tableColumn id="19" xr3:uid="{A437B9EC-1E3C-4149-8DBA-4A806DF4B65D}" name="testing" dataDxfId="4"/>
    <tableColumn id="20" xr3:uid="{BF2A774B-005C-403D-9479-71B5E0449DAA}" name="Column1" dataDxfId="3"/>
    <tableColumn id="21" xr3:uid="{C1BD8BD1-730E-412F-B111-26D27BBEE2E7}" name="Column2" dataDxfId="2"/>
    <tableColumn id="22" xr3:uid="{5C1E7347-6570-401B-9490-D3C0B9A10112}" name="Column3" dataDxfId="1"/>
    <tableColumn id="23" xr3:uid="{04307A18-04F7-4FB9-9C50-BC0587E49C44}" name="Column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6D795-33A8-4CD3-AB58-8598000D1983}">
  <dimension ref="A1:K46"/>
  <sheetViews>
    <sheetView workbookViewId="0">
      <selection activeCell="F9" sqref="F9"/>
    </sheetView>
  </sheetViews>
  <sheetFormatPr defaultRowHeight="14.4" x14ac:dyDescent="0.3"/>
  <cols>
    <col min="1" max="1" width="9.33203125" bestFit="1" customWidth="1"/>
    <col min="2" max="2" width="10.5546875" bestFit="1" customWidth="1"/>
    <col min="3" max="3" width="22.109375" bestFit="1" customWidth="1"/>
    <col min="6" max="6" width="20" bestFit="1" customWidth="1"/>
    <col min="7" max="7" width="9.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176</v>
      </c>
      <c r="C2" t="s">
        <v>12</v>
      </c>
      <c r="D2" t="s">
        <v>13</v>
      </c>
      <c r="E2" t="s">
        <v>14</v>
      </c>
      <c r="F2" t="s">
        <v>15</v>
      </c>
      <c r="G2" s="2">
        <v>14999</v>
      </c>
      <c r="H2">
        <v>1</v>
      </c>
      <c r="I2">
        <v>0.1</v>
      </c>
      <c r="J2" t="s">
        <v>16</v>
      </c>
      <c r="K2" t="s">
        <v>17</v>
      </c>
    </row>
    <row r="3" spans="1:11" x14ac:dyDescent="0.3">
      <c r="A3" t="s">
        <v>18</v>
      </c>
      <c r="B3" t="s">
        <v>164</v>
      </c>
      <c r="C3" t="s">
        <v>19</v>
      </c>
      <c r="D3" t="s">
        <v>20</v>
      </c>
      <c r="E3" t="s">
        <v>14</v>
      </c>
      <c r="F3" t="s">
        <v>21</v>
      </c>
      <c r="G3" t="s">
        <v>22</v>
      </c>
      <c r="H3">
        <v>2</v>
      </c>
      <c r="I3">
        <v>0.05</v>
      </c>
      <c r="J3" t="s">
        <v>23</v>
      </c>
      <c r="K3" t="s">
        <v>17</v>
      </c>
    </row>
    <row r="4" spans="1:11" x14ac:dyDescent="0.3">
      <c r="A4" t="s">
        <v>33</v>
      </c>
      <c r="B4" t="s">
        <v>154</v>
      </c>
      <c r="C4" t="s">
        <v>34</v>
      </c>
      <c r="D4" t="s">
        <v>35</v>
      </c>
      <c r="E4" t="s">
        <v>36</v>
      </c>
      <c r="F4" t="s">
        <v>37</v>
      </c>
      <c r="G4" s="2">
        <v>54990</v>
      </c>
      <c r="H4">
        <v>1</v>
      </c>
      <c r="I4">
        <v>0.15</v>
      </c>
      <c r="J4" t="s">
        <v>38</v>
      </c>
      <c r="K4" t="s">
        <v>17</v>
      </c>
    </row>
    <row r="5" spans="1:11" x14ac:dyDescent="0.3">
      <c r="A5" t="s">
        <v>39</v>
      </c>
      <c r="B5" t="s">
        <v>140</v>
      </c>
      <c r="C5" t="s">
        <v>40</v>
      </c>
      <c r="D5" t="s">
        <v>41</v>
      </c>
      <c r="E5" t="s">
        <v>28</v>
      </c>
      <c r="F5" t="s">
        <v>42</v>
      </c>
      <c r="G5">
        <v>450</v>
      </c>
      <c r="H5">
        <v>3</v>
      </c>
      <c r="I5">
        <v>0</v>
      </c>
      <c r="J5" t="s">
        <v>16</v>
      </c>
      <c r="K5" t="s">
        <v>43</v>
      </c>
    </row>
    <row r="6" spans="1:11" x14ac:dyDescent="0.3">
      <c r="A6" t="s">
        <v>44</v>
      </c>
      <c r="B6" t="s">
        <v>128</v>
      </c>
      <c r="C6" t="s">
        <v>45</v>
      </c>
      <c r="D6" t="s">
        <v>46</v>
      </c>
      <c r="E6" t="s">
        <v>47</v>
      </c>
      <c r="F6" t="s">
        <v>48</v>
      </c>
      <c r="G6" s="2">
        <v>18999</v>
      </c>
      <c r="H6">
        <v>1</v>
      </c>
      <c r="I6">
        <v>0.08</v>
      </c>
      <c r="J6" t="s">
        <v>16</v>
      </c>
      <c r="K6" t="s">
        <v>17</v>
      </c>
    </row>
    <row r="7" spans="1:11" x14ac:dyDescent="0.3">
      <c r="A7" t="s">
        <v>55</v>
      </c>
      <c r="B7" t="s">
        <v>115</v>
      </c>
      <c r="C7" t="s">
        <v>56</v>
      </c>
      <c r="D7" t="s">
        <v>57</v>
      </c>
      <c r="E7" t="s">
        <v>47</v>
      </c>
      <c r="F7" t="s">
        <v>58</v>
      </c>
      <c r="G7" t="s">
        <v>59</v>
      </c>
      <c r="H7">
        <v>1</v>
      </c>
      <c r="I7">
        <v>0.05</v>
      </c>
      <c r="J7" t="s">
        <v>31</v>
      </c>
      <c r="K7" t="s">
        <v>32</v>
      </c>
    </row>
    <row r="8" spans="1:11" x14ac:dyDescent="0.3">
      <c r="A8" t="s">
        <v>60</v>
      </c>
      <c r="B8" t="s">
        <v>100</v>
      </c>
      <c r="C8" t="s">
        <v>61</v>
      </c>
      <c r="D8" t="s">
        <v>62</v>
      </c>
      <c r="E8" t="s">
        <v>36</v>
      </c>
      <c r="F8" t="s">
        <v>63</v>
      </c>
      <c r="G8" s="2">
        <v>850</v>
      </c>
      <c r="H8">
        <v>4</v>
      </c>
      <c r="I8">
        <v>0.1</v>
      </c>
      <c r="J8" t="s">
        <v>16</v>
      </c>
      <c r="K8" t="s">
        <v>17</v>
      </c>
    </row>
    <row r="9" spans="1:11" x14ac:dyDescent="0.3">
      <c r="A9" t="s">
        <v>64</v>
      </c>
      <c r="B9" t="s">
        <v>84</v>
      </c>
      <c r="C9" t="s">
        <v>65</v>
      </c>
      <c r="D9" t="s">
        <v>66</v>
      </c>
      <c r="E9" t="s">
        <v>14</v>
      </c>
      <c r="F9" t="s">
        <v>67</v>
      </c>
      <c r="G9" t="s">
        <v>68</v>
      </c>
      <c r="H9">
        <v>1</v>
      </c>
      <c r="I9">
        <v>0.12</v>
      </c>
      <c r="J9" t="s">
        <v>23</v>
      </c>
      <c r="K9" t="s">
        <v>17</v>
      </c>
    </row>
    <row r="10" spans="1:11" x14ac:dyDescent="0.3">
      <c r="A10" t="s">
        <v>73</v>
      </c>
      <c r="B10" t="s">
        <v>70</v>
      </c>
      <c r="C10" t="s">
        <v>74</v>
      </c>
      <c r="D10" t="s">
        <v>75</v>
      </c>
      <c r="E10" t="s">
        <v>28</v>
      </c>
      <c r="F10" t="s">
        <v>53</v>
      </c>
      <c r="G10">
        <v>1800</v>
      </c>
      <c r="H10">
        <v>3</v>
      </c>
      <c r="I10">
        <v>0.15</v>
      </c>
      <c r="J10" t="s">
        <v>31</v>
      </c>
      <c r="K10" t="s">
        <v>17</v>
      </c>
    </row>
    <row r="11" spans="1:11" x14ac:dyDescent="0.3">
      <c r="A11" t="s">
        <v>76</v>
      </c>
      <c r="B11" t="s">
        <v>50</v>
      </c>
      <c r="C11" t="s">
        <v>77</v>
      </c>
      <c r="D11" t="s">
        <v>78</v>
      </c>
      <c r="E11" t="s">
        <v>47</v>
      </c>
      <c r="F11" t="s">
        <v>29</v>
      </c>
      <c r="G11" s="2">
        <v>6200</v>
      </c>
      <c r="H11">
        <v>1</v>
      </c>
      <c r="I11">
        <v>0.1</v>
      </c>
      <c r="J11" t="s">
        <v>38</v>
      </c>
      <c r="K11" t="s">
        <v>17</v>
      </c>
    </row>
    <row r="12" spans="1:11" x14ac:dyDescent="0.3">
      <c r="A12" t="s">
        <v>79</v>
      </c>
      <c r="B12" t="s">
        <v>25</v>
      </c>
      <c r="C12" t="s">
        <v>80</v>
      </c>
      <c r="D12" t="s">
        <v>81</v>
      </c>
      <c r="E12" t="s">
        <v>14</v>
      </c>
      <c r="F12" t="s">
        <v>42</v>
      </c>
      <c r="G12" t="s">
        <v>82</v>
      </c>
      <c r="H12">
        <v>2</v>
      </c>
      <c r="I12">
        <v>0</v>
      </c>
      <c r="J12" t="s">
        <v>16</v>
      </c>
      <c r="K12" t="s">
        <v>32</v>
      </c>
    </row>
    <row r="13" spans="1:11" x14ac:dyDescent="0.3">
      <c r="A13" t="s">
        <v>89</v>
      </c>
      <c r="B13" s="1">
        <v>45887</v>
      </c>
      <c r="C13" t="s">
        <v>90</v>
      </c>
      <c r="D13" t="s">
        <v>91</v>
      </c>
      <c r="E13" t="s">
        <v>36</v>
      </c>
      <c r="F13" t="s">
        <v>21</v>
      </c>
      <c r="G13">
        <v>1450</v>
      </c>
      <c r="H13">
        <v>2</v>
      </c>
      <c r="I13">
        <v>0.05</v>
      </c>
      <c r="J13" t="s">
        <v>16</v>
      </c>
      <c r="K13" t="s">
        <v>17</v>
      </c>
    </row>
    <row r="14" spans="1:11" x14ac:dyDescent="0.3">
      <c r="A14" t="s">
        <v>92</v>
      </c>
      <c r="B14" s="1">
        <v>45880</v>
      </c>
      <c r="C14" t="s">
        <v>93</v>
      </c>
      <c r="D14" t="s">
        <v>94</v>
      </c>
      <c r="E14" t="s">
        <v>28</v>
      </c>
      <c r="F14" t="s">
        <v>48</v>
      </c>
      <c r="G14" s="2">
        <v>21999</v>
      </c>
      <c r="H14">
        <v>1</v>
      </c>
      <c r="I14">
        <v>0.1</v>
      </c>
      <c r="J14" t="s">
        <v>54</v>
      </c>
      <c r="K14" t="s">
        <v>43</v>
      </c>
    </row>
    <row r="15" spans="1:11" x14ac:dyDescent="0.3">
      <c r="A15" t="s">
        <v>95</v>
      </c>
      <c r="B15" s="1">
        <v>45868</v>
      </c>
      <c r="C15" t="s">
        <v>96</v>
      </c>
      <c r="D15" t="s">
        <v>97</v>
      </c>
      <c r="E15" t="s">
        <v>36</v>
      </c>
      <c r="F15" t="s">
        <v>29</v>
      </c>
      <c r="G15" t="s">
        <v>98</v>
      </c>
      <c r="H15">
        <v>2</v>
      </c>
      <c r="I15">
        <v>0</v>
      </c>
      <c r="J15" t="s">
        <v>31</v>
      </c>
      <c r="K15" t="s">
        <v>17</v>
      </c>
    </row>
    <row r="16" spans="1:11" x14ac:dyDescent="0.3">
      <c r="A16" t="s">
        <v>104</v>
      </c>
      <c r="B16" s="1">
        <v>45863</v>
      </c>
      <c r="C16" t="s">
        <v>105</v>
      </c>
      <c r="D16" t="s">
        <v>106</v>
      </c>
      <c r="E16" t="s">
        <v>87</v>
      </c>
      <c r="F16" t="s">
        <v>67</v>
      </c>
      <c r="G16" t="s">
        <v>107</v>
      </c>
      <c r="H16">
        <v>1</v>
      </c>
      <c r="I16">
        <v>0.15</v>
      </c>
      <c r="J16" t="s">
        <v>23</v>
      </c>
      <c r="K16" t="s">
        <v>17</v>
      </c>
    </row>
    <row r="17" spans="1:11" x14ac:dyDescent="0.3">
      <c r="A17" t="s">
        <v>108</v>
      </c>
      <c r="B17" s="1">
        <v>45857</v>
      </c>
      <c r="C17" t="s">
        <v>109</v>
      </c>
      <c r="D17" t="s">
        <v>110</v>
      </c>
      <c r="E17" t="s">
        <v>28</v>
      </c>
      <c r="F17" t="s">
        <v>53</v>
      </c>
      <c r="G17" s="2">
        <v>2800</v>
      </c>
      <c r="H17">
        <v>2</v>
      </c>
      <c r="I17">
        <v>0.05</v>
      </c>
      <c r="J17" t="s">
        <v>16</v>
      </c>
      <c r="K17" t="s">
        <v>32</v>
      </c>
    </row>
    <row r="18" spans="1:11" x14ac:dyDescent="0.3">
      <c r="A18" t="s">
        <v>111</v>
      </c>
      <c r="B18" s="1">
        <v>45846</v>
      </c>
      <c r="C18" t="s">
        <v>112</v>
      </c>
      <c r="D18" t="s">
        <v>113</v>
      </c>
      <c r="E18" t="s">
        <v>14</v>
      </c>
      <c r="F18" t="s">
        <v>15</v>
      </c>
      <c r="G18" s="2">
        <v>11499</v>
      </c>
      <c r="H18">
        <v>1</v>
      </c>
      <c r="I18">
        <v>0.1</v>
      </c>
      <c r="J18" t="s">
        <v>54</v>
      </c>
      <c r="K18" t="s">
        <v>17</v>
      </c>
    </row>
    <row r="19" spans="1:11" x14ac:dyDescent="0.3">
      <c r="A19" t="s">
        <v>118</v>
      </c>
      <c r="B19" s="1">
        <v>45840</v>
      </c>
      <c r="C19" t="s">
        <v>119</v>
      </c>
      <c r="D19" t="s">
        <v>120</v>
      </c>
      <c r="E19" t="s">
        <v>47</v>
      </c>
      <c r="F19" t="s">
        <v>63</v>
      </c>
      <c r="G19" t="s">
        <v>121</v>
      </c>
      <c r="H19">
        <v>2</v>
      </c>
      <c r="I19">
        <v>0.15</v>
      </c>
      <c r="J19" t="s">
        <v>16</v>
      </c>
      <c r="K19" t="s">
        <v>43</v>
      </c>
    </row>
    <row r="20" spans="1:11" x14ac:dyDescent="0.3">
      <c r="A20" t="s">
        <v>122</v>
      </c>
      <c r="B20" s="1">
        <v>45834</v>
      </c>
      <c r="C20" t="s">
        <v>123</v>
      </c>
      <c r="D20" t="s">
        <v>124</v>
      </c>
      <c r="E20" t="s">
        <v>28</v>
      </c>
      <c r="F20" t="s">
        <v>67</v>
      </c>
      <c r="G20" s="2">
        <v>28500</v>
      </c>
      <c r="H20">
        <v>1</v>
      </c>
      <c r="I20">
        <v>0.2</v>
      </c>
      <c r="J20" t="s">
        <v>38</v>
      </c>
      <c r="K20" t="s">
        <v>17</v>
      </c>
    </row>
    <row r="21" spans="1:11" x14ac:dyDescent="0.3">
      <c r="A21" t="s">
        <v>125</v>
      </c>
      <c r="B21" s="1">
        <v>45823</v>
      </c>
      <c r="C21" t="s">
        <v>126</v>
      </c>
      <c r="D21" t="s">
        <v>52</v>
      </c>
      <c r="E21" t="s">
        <v>14</v>
      </c>
      <c r="F21" t="s">
        <v>21</v>
      </c>
      <c r="G21" s="2">
        <v>3450</v>
      </c>
      <c r="H21">
        <v>2</v>
      </c>
      <c r="I21">
        <v>0.1</v>
      </c>
      <c r="J21" t="s">
        <v>16</v>
      </c>
      <c r="K21" t="s">
        <v>17</v>
      </c>
    </row>
    <row r="22" spans="1:11" x14ac:dyDescent="0.3">
      <c r="A22" t="s">
        <v>131</v>
      </c>
      <c r="B22" s="1">
        <v>45818</v>
      </c>
      <c r="C22" t="s">
        <v>132</v>
      </c>
      <c r="D22" t="s">
        <v>133</v>
      </c>
      <c r="E22" t="s">
        <v>47</v>
      </c>
      <c r="F22" t="s">
        <v>58</v>
      </c>
      <c r="G22" s="2">
        <v>7600</v>
      </c>
      <c r="H22">
        <v>1</v>
      </c>
      <c r="I22">
        <v>0</v>
      </c>
      <c r="J22" t="s">
        <v>23</v>
      </c>
      <c r="K22" t="s">
        <v>17</v>
      </c>
    </row>
    <row r="23" spans="1:11" x14ac:dyDescent="0.3">
      <c r="A23" t="s">
        <v>134</v>
      </c>
      <c r="B23" s="1">
        <v>45812</v>
      </c>
      <c r="C23" t="s">
        <v>135</v>
      </c>
      <c r="D23" t="s">
        <v>136</v>
      </c>
      <c r="E23" t="s">
        <v>28</v>
      </c>
      <c r="F23" t="s">
        <v>63</v>
      </c>
      <c r="G23">
        <v>620</v>
      </c>
      <c r="H23">
        <v>4</v>
      </c>
      <c r="I23">
        <v>0.1</v>
      </c>
      <c r="J23" t="s">
        <v>16</v>
      </c>
      <c r="K23" t="s">
        <v>17</v>
      </c>
    </row>
    <row r="24" spans="1:11" x14ac:dyDescent="0.3">
      <c r="A24" t="s">
        <v>137</v>
      </c>
      <c r="B24" s="1">
        <v>45801</v>
      </c>
      <c r="C24" t="s">
        <v>138</v>
      </c>
      <c r="D24" t="s">
        <v>27</v>
      </c>
      <c r="E24" t="s">
        <v>28</v>
      </c>
      <c r="F24" t="s">
        <v>67</v>
      </c>
      <c r="G24" s="2">
        <v>48999</v>
      </c>
      <c r="H24">
        <v>1</v>
      </c>
      <c r="I24">
        <v>0.15</v>
      </c>
      <c r="J24" t="s">
        <v>23</v>
      </c>
      <c r="K24" t="s">
        <v>17</v>
      </c>
    </row>
    <row r="25" spans="1:11" x14ac:dyDescent="0.3">
      <c r="A25" t="s">
        <v>144</v>
      </c>
      <c r="B25" s="1">
        <v>45795</v>
      </c>
      <c r="C25" t="s">
        <v>145</v>
      </c>
      <c r="D25" t="s">
        <v>35</v>
      </c>
      <c r="E25" t="s">
        <v>36</v>
      </c>
      <c r="F25" t="s">
        <v>15</v>
      </c>
      <c r="G25" s="2">
        <v>34999</v>
      </c>
      <c r="H25">
        <v>1</v>
      </c>
      <c r="I25">
        <v>0.12</v>
      </c>
      <c r="J25" t="s">
        <v>38</v>
      </c>
      <c r="K25" t="s">
        <v>17</v>
      </c>
    </row>
    <row r="26" spans="1:11" x14ac:dyDescent="0.3">
      <c r="A26" t="s">
        <v>146</v>
      </c>
      <c r="B26" s="1">
        <v>45788</v>
      </c>
      <c r="C26" t="s">
        <v>147</v>
      </c>
      <c r="D26" t="s">
        <v>148</v>
      </c>
      <c r="E26" t="s">
        <v>28</v>
      </c>
      <c r="F26" t="s">
        <v>29</v>
      </c>
      <c r="G26" s="2">
        <v>2900</v>
      </c>
      <c r="H26">
        <v>2</v>
      </c>
      <c r="I26">
        <v>0.05</v>
      </c>
      <c r="J26" t="s">
        <v>31</v>
      </c>
      <c r="K26" t="s">
        <v>32</v>
      </c>
    </row>
    <row r="27" spans="1:11" x14ac:dyDescent="0.3">
      <c r="A27" t="s">
        <v>149</v>
      </c>
      <c r="B27" s="1">
        <v>45777</v>
      </c>
      <c r="C27" t="s">
        <v>150</v>
      </c>
      <c r="D27" t="s">
        <v>151</v>
      </c>
      <c r="E27" t="s">
        <v>36</v>
      </c>
      <c r="F27" t="s">
        <v>63</v>
      </c>
      <c r="G27" t="s">
        <v>152</v>
      </c>
      <c r="H27">
        <v>2</v>
      </c>
      <c r="I27">
        <v>0</v>
      </c>
      <c r="J27" t="s">
        <v>16</v>
      </c>
      <c r="K27" t="s">
        <v>17</v>
      </c>
    </row>
    <row r="28" spans="1:11" x14ac:dyDescent="0.3">
      <c r="A28" t="s">
        <v>156</v>
      </c>
      <c r="B28" s="1">
        <v>45772</v>
      </c>
      <c r="C28" t="s">
        <v>157</v>
      </c>
      <c r="D28" t="s">
        <v>46</v>
      </c>
      <c r="E28" t="s">
        <v>47</v>
      </c>
      <c r="F28" t="s">
        <v>21</v>
      </c>
      <c r="G28" s="2">
        <v>4200</v>
      </c>
      <c r="H28">
        <v>1</v>
      </c>
      <c r="I28">
        <v>0.15</v>
      </c>
      <c r="J28" t="s">
        <v>16</v>
      </c>
      <c r="K28" t="s">
        <v>17</v>
      </c>
    </row>
    <row r="29" spans="1:11" x14ac:dyDescent="0.3">
      <c r="A29" t="s">
        <v>158</v>
      </c>
      <c r="B29" s="1">
        <v>45766</v>
      </c>
      <c r="C29" t="s">
        <v>159</v>
      </c>
      <c r="D29" t="s">
        <v>66</v>
      </c>
      <c r="E29" t="s">
        <v>14</v>
      </c>
      <c r="F29" t="s">
        <v>48</v>
      </c>
      <c r="G29" t="s">
        <v>160</v>
      </c>
      <c r="H29">
        <v>1</v>
      </c>
      <c r="I29">
        <v>0.08</v>
      </c>
      <c r="J29" t="s">
        <v>54</v>
      </c>
      <c r="K29" t="s">
        <v>43</v>
      </c>
    </row>
    <row r="30" spans="1:11" x14ac:dyDescent="0.3">
      <c r="A30" t="s">
        <v>161</v>
      </c>
      <c r="B30" s="1">
        <v>45755</v>
      </c>
      <c r="C30" t="s">
        <v>162</v>
      </c>
      <c r="D30" t="s">
        <v>13</v>
      </c>
      <c r="E30" t="s">
        <v>14</v>
      </c>
      <c r="F30" t="s">
        <v>29</v>
      </c>
      <c r="G30" s="2">
        <v>8900</v>
      </c>
      <c r="H30">
        <v>1</v>
      </c>
      <c r="I30">
        <v>0.1</v>
      </c>
      <c r="J30" t="s">
        <v>38</v>
      </c>
      <c r="K30" t="s">
        <v>17</v>
      </c>
    </row>
    <row r="31" spans="1:11" x14ac:dyDescent="0.3">
      <c r="A31" t="s">
        <v>166</v>
      </c>
      <c r="B31" s="1">
        <v>45749</v>
      </c>
      <c r="C31" t="s">
        <v>167</v>
      </c>
      <c r="D31" t="s">
        <v>13</v>
      </c>
      <c r="E31" t="s">
        <v>14</v>
      </c>
      <c r="F31" t="s">
        <v>67</v>
      </c>
      <c r="G31" s="2">
        <v>85000</v>
      </c>
      <c r="H31">
        <v>1</v>
      </c>
      <c r="I31">
        <v>0.2</v>
      </c>
      <c r="J31" t="s">
        <v>23</v>
      </c>
      <c r="K31" t="s">
        <v>17</v>
      </c>
    </row>
    <row r="32" spans="1:11" x14ac:dyDescent="0.3">
      <c r="A32" t="s">
        <v>168</v>
      </c>
      <c r="B32" s="1">
        <v>45743</v>
      </c>
      <c r="C32" t="s">
        <v>169</v>
      </c>
      <c r="D32" t="s">
        <v>170</v>
      </c>
      <c r="E32" t="s">
        <v>28</v>
      </c>
      <c r="F32" t="s">
        <v>53</v>
      </c>
      <c r="G32" t="s">
        <v>171</v>
      </c>
      <c r="H32">
        <v>2</v>
      </c>
      <c r="I32">
        <v>0.05</v>
      </c>
      <c r="J32" t="s">
        <v>16</v>
      </c>
      <c r="K32" t="s">
        <v>17</v>
      </c>
    </row>
    <row r="33" spans="1:11" x14ac:dyDescent="0.3">
      <c r="A33" t="s">
        <v>172</v>
      </c>
      <c r="B33" s="1">
        <v>45733</v>
      </c>
      <c r="C33" t="s">
        <v>173</v>
      </c>
      <c r="D33" t="s">
        <v>174</v>
      </c>
      <c r="E33" t="s">
        <v>14</v>
      </c>
      <c r="F33" t="s">
        <v>15</v>
      </c>
      <c r="G33" s="2">
        <v>16499</v>
      </c>
      <c r="H33">
        <v>1</v>
      </c>
      <c r="I33">
        <v>0.1</v>
      </c>
      <c r="J33" t="s">
        <v>54</v>
      </c>
      <c r="K33" t="s">
        <v>32</v>
      </c>
    </row>
    <row r="34" spans="1:11" x14ac:dyDescent="0.3">
      <c r="A34" t="s">
        <v>179</v>
      </c>
      <c r="B34" s="1">
        <v>45728</v>
      </c>
      <c r="C34" t="s">
        <v>180</v>
      </c>
      <c r="D34" t="s">
        <v>181</v>
      </c>
      <c r="E34" t="s">
        <v>47</v>
      </c>
      <c r="F34" t="s">
        <v>63</v>
      </c>
      <c r="G34">
        <v>1150</v>
      </c>
      <c r="H34">
        <v>2</v>
      </c>
      <c r="I34">
        <v>0.1</v>
      </c>
      <c r="J34" t="s">
        <v>16</v>
      </c>
      <c r="K34" t="s">
        <v>17</v>
      </c>
    </row>
    <row r="35" spans="1:11" x14ac:dyDescent="0.3">
      <c r="A35" t="s">
        <v>182</v>
      </c>
      <c r="B35" s="1">
        <v>45725</v>
      </c>
      <c r="C35" t="s">
        <v>183</v>
      </c>
      <c r="D35" t="s">
        <v>184</v>
      </c>
      <c r="E35" t="s">
        <v>28</v>
      </c>
      <c r="F35" t="s">
        <v>67</v>
      </c>
      <c r="G35" s="2">
        <v>39999</v>
      </c>
      <c r="H35">
        <v>1</v>
      </c>
      <c r="I35">
        <v>0.15</v>
      </c>
      <c r="J35" t="s">
        <v>23</v>
      </c>
      <c r="K35" t="s">
        <v>17</v>
      </c>
    </row>
    <row r="36" spans="1:11" x14ac:dyDescent="0.3">
      <c r="A36" t="s">
        <v>24</v>
      </c>
      <c r="B36" s="1">
        <v>45716</v>
      </c>
      <c r="C36" t="s">
        <v>26</v>
      </c>
      <c r="D36" t="s">
        <v>27</v>
      </c>
      <c r="E36" t="s">
        <v>28</v>
      </c>
      <c r="F36" t="s">
        <v>29</v>
      </c>
      <c r="G36" t="s">
        <v>30</v>
      </c>
      <c r="H36">
        <v>1</v>
      </c>
      <c r="I36">
        <v>0</v>
      </c>
      <c r="J36" t="s">
        <v>31</v>
      </c>
      <c r="K36" t="s">
        <v>32</v>
      </c>
    </row>
    <row r="37" spans="1:11" x14ac:dyDescent="0.3">
      <c r="A37" t="s">
        <v>49</v>
      </c>
      <c r="B37" s="1">
        <v>45710</v>
      </c>
      <c r="C37" t="s">
        <v>51</v>
      </c>
      <c r="D37" t="s">
        <v>52</v>
      </c>
      <c r="E37" t="s">
        <v>14</v>
      </c>
      <c r="F37" t="s">
        <v>53</v>
      </c>
      <c r="G37" s="2">
        <v>3200</v>
      </c>
      <c r="H37">
        <v>2</v>
      </c>
      <c r="I37">
        <v>0.2</v>
      </c>
      <c r="J37" t="s">
        <v>54</v>
      </c>
      <c r="K37" t="s">
        <v>17</v>
      </c>
    </row>
    <row r="38" spans="1:11" x14ac:dyDescent="0.3">
      <c r="A38" t="s">
        <v>69</v>
      </c>
      <c r="B38" s="1">
        <v>45706</v>
      </c>
      <c r="C38" t="s">
        <v>71</v>
      </c>
      <c r="D38" t="s">
        <v>72</v>
      </c>
      <c r="E38" t="s">
        <v>28</v>
      </c>
      <c r="F38" t="s">
        <v>15</v>
      </c>
      <c r="G38" s="2">
        <v>12499</v>
      </c>
      <c r="H38">
        <v>2</v>
      </c>
      <c r="I38">
        <v>0.05</v>
      </c>
      <c r="J38" t="s">
        <v>16</v>
      </c>
      <c r="K38" t="s">
        <v>43</v>
      </c>
    </row>
    <row r="39" spans="1:11" x14ac:dyDescent="0.3">
      <c r="A39" t="s">
        <v>83</v>
      </c>
      <c r="B39" s="1">
        <v>45698</v>
      </c>
      <c r="C39" t="s">
        <v>85</v>
      </c>
      <c r="D39" t="s">
        <v>86</v>
      </c>
      <c r="E39" t="s">
        <v>87</v>
      </c>
      <c r="F39" t="s">
        <v>88</v>
      </c>
      <c r="G39" s="2">
        <v>42999</v>
      </c>
      <c r="H39">
        <v>1</v>
      </c>
      <c r="I39">
        <v>0.18</v>
      </c>
      <c r="J39" t="s">
        <v>23</v>
      </c>
      <c r="K39" t="s">
        <v>17</v>
      </c>
    </row>
    <row r="40" spans="1:11" x14ac:dyDescent="0.3">
      <c r="A40" t="s">
        <v>99</v>
      </c>
      <c r="B40" s="1">
        <v>45693</v>
      </c>
      <c r="C40" t="s">
        <v>101</v>
      </c>
      <c r="D40" t="s">
        <v>102</v>
      </c>
      <c r="E40" t="s">
        <v>36</v>
      </c>
      <c r="F40" t="s">
        <v>103</v>
      </c>
      <c r="G40" s="2">
        <v>1650</v>
      </c>
      <c r="H40">
        <v>3</v>
      </c>
      <c r="I40">
        <v>0.1</v>
      </c>
      <c r="J40" t="s">
        <v>16</v>
      </c>
      <c r="K40" t="s">
        <v>17</v>
      </c>
    </row>
    <row r="41" spans="1:11" x14ac:dyDescent="0.3">
      <c r="A41" t="s">
        <v>114</v>
      </c>
      <c r="B41" s="1">
        <v>45689</v>
      </c>
      <c r="C41" t="s">
        <v>116</v>
      </c>
      <c r="D41" t="s">
        <v>117</v>
      </c>
      <c r="E41" t="s">
        <v>36</v>
      </c>
      <c r="F41" t="s">
        <v>29</v>
      </c>
      <c r="G41" s="2">
        <v>4800</v>
      </c>
      <c r="H41">
        <v>1</v>
      </c>
      <c r="I41">
        <v>0</v>
      </c>
      <c r="J41" t="s">
        <v>31</v>
      </c>
      <c r="K41" t="s">
        <v>17</v>
      </c>
    </row>
    <row r="42" spans="1:11" x14ac:dyDescent="0.3">
      <c r="A42" t="s">
        <v>127</v>
      </c>
      <c r="B42" s="1">
        <v>45679</v>
      </c>
      <c r="C42" t="s">
        <v>129</v>
      </c>
      <c r="D42" t="s">
        <v>130</v>
      </c>
      <c r="E42" t="s">
        <v>36</v>
      </c>
      <c r="F42" t="s">
        <v>48</v>
      </c>
      <c r="G42" s="2">
        <v>15999</v>
      </c>
      <c r="H42">
        <v>1</v>
      </c>
      <c r="I42">
        <v>0.05</v>
      </c>
      <c r="J42" t="s">
        <v>31</v>
      </c>
      <c r="K42" t="s">
        <v>32</v>
      </c>
    </row>
    <row r="43" spans="1:11" x14ac:dyDescent="0.3">
      <c r="A43" t="s">
        <v>139</v>
      </c>
      <c r="B43" s="1">
        <v>45675</v>
      </c>
      <c r="C43" t="s">
        <v>141</v>
      </c>
      <c r="D43" t="s">
        <v>142</v>
      </c>
      <c r="E43" t="s">
        <v>28</v>
      </c>
      <c r="F43" t="s">
        <v>53</v>
      </c>
      <c r="G43" t="s">
        <v>143</v>
      </c>
      <c r="H43">
        <v>3</v>
      </c>
      <c r="I43">
        <v>0.1</v>
      </c>
      <c r="J43" t="s">
        <v>16</v>
      </c>
      <c r="K43" t="s">
        <v>17</v>
      </c>
    </row>
    <row r="44" spans="1:11" x14ac:dyDescent="0.3">
      <c r="A44" t="s">
        <v>153</v>
      </c>
      <c r="B44" s="1">
        <v>45672</v>
      </c>
      <c r="C44" t="s">
        <v>155</v>
      </c>
      <c r="D44" t="s">
        <v>78</v>
      </c>
      <c r="E44" t="s">
        <v>47</v>
      </c>
      <c r="F44" t="s">
        <v>67</v>
      </c>
      <c r="G44" s="2">
        <v>22499</v>
      </c>
      <c r="H44">
        <v>1</v>
      </c>
      <c r="I44">
        <v>0.1</v>
      </c>
      <c r="J44" t="s">
        <v>23</v>
      </c>
      <c r="K44" t="s">
        <v>17</v>
      </c>
    </row>
    <row r="45" spans="1:11" x14ac:dyDescent="0.3">
      <c r="A45" t="s">
        <v>163</v>
      </c>
      <c r="B45" s="1">
        <v>45665</v>
      </c>
      <c r="C45" t="s">
        <v>165</v>
      </c>
      <c r="D45" t="s">
        <v>52</v>
      </c>
      <c r="E45" t="s">
        <v>14</v>
      </c>
      <c r="F45" t="s">
        <v>103</v>
      </c>
      <c r="G45" s="2">
        <v>750</v>
      </c>
      <c r="H45">
        <v>3</v>
      </c>
      <c r="I45">
        <v>0</v>
      </c>
      <c r="J45" t="s">
        <v>31</v>
      </c>
      <c r="K45" t="s">
        <v>17</v>
      </c>
    </row>
    <row r="46" spans="1:11" x14ac:dyDescent="0.3">
      <c r="A46" t="s">
        <v>175</v>
      </c>
      <c r="B46" s="1">
        <v>45662</v>
      </c>
      <c r="C46" t="s">
        <v>177</v>
      </c>
      <c r="D46" t="s">
        <v>178</v>
      </c>
      <c r="E46" t="s">
        <v>36</v>
      </c>
      <c r="F46" t="s">
        <v>29</v>
      </c>
      <c r="G46" s="2">
        <v>5100</v>
      </c>
      <c r="H46">
        <v>1</v>
      </c>
      <c r="I46">
        <v>0</v>
      </c>
      <c r="J46" t="s">
        <v>31</v>
      </c>
      <c r="K46" t="s">
        <v>17</v>
      </c>
    </row>
  </sheetData>
  <autoFilter ref="A1:K46" xr:uid="{EBD6D795-33A8-4CD3-AB58-8598000D1983}"/>
  <sortState xmlns:xlrd2="http://schemas.microsoft.com/office/spreadsheetml/2017/richdata2" ref="B2:B46">
    <sortCondition descending="1" ref="B2:B46"/>
  </sortState>
  <dataValidations count="1">
    <dataValidation type="date" allowBlank="1" showInputMessage="1" showErrorMessage="1" sqref="B1:B1048576" xr:uid="{66FCF5AB-34C0-4234-8A5C-CE8C8278BF24}">
      <formula1>B1</formula1>
      <formula2>B45</formula2>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1408B-1C8B-4495-80B4-878778FAF1E7}">
  <dimension ref="A1:W50"/>
  <sheetViews>
    <sheetView workbookViewId="0">
      <selection activeCell="A3" sqref="A3:W50"/>
    </sheetView>
  </sheetViews>
  <sheetFormatPr defaultRowHeight="14.4" x14ac:dyDescent="0.3"/>
  <cols>
    <col min="1" max="1" width="10.77734375" bestFit="1" customWidth="1"/>
    <col min="2" max="2" width="12.88671875" bestFit="1" customWidth="1"/>
    <col min="3" max="3" width="18.5546875" bestFit="1" customWidth="1"/>
    <col min="4" max="4" width="22.109375" bestFit="1" customWidth="1"/>
    <col min="5" max="5" width="18.109375" bestFit="1" customWidth="1"/>
    <col min="6" max="6" width="10.77734375" bestFit="1" customWidth="1"/>
    <col min="7" max="7" width="19.33203125" bestFit="1" customWidth="1"/>
    <col min="8" max="8" width="20" bestFit="1" customWidth="1"/>
    <col min="9" max="9" width="11.88671875" bestFit="1" customWidth="1"/>
    <col min="10" max="10" width="10.5546875" bestFit="1" customWidth="1"/>
    <col min="11" max="11" width="14.21875" bestFit="1" customWidth="1"/>
    <col min="12" max="12" width="18.6640625" bestFit="1" customWidth="1"/>
    <col min="13" max="13" width="14.21875" bestFit="1" customWidth="1"/>
    <col min="14" max="14" width="15.77734375" bestFit="1" customWidth="1"/>
    <col min="15" max="15" width="18.5546875" bestFit="1" customWidth="1"/>
    <col min="16" max="16" width="13.109375" bestFit="1" customWidth="1"/>
    <col min="17" max="17" width="15.109375" bestFit="1" customWidth="1"/>
    <col min="18" max="18" width="12.33203125" bestFit="1" customWidth="1"/>
    <col min="19" max="19" width="9" bestFit="1" customWidth="1"/>
    <col min="20" max="20" width="10.77734375" bestFit="1" customWidth="1"/>
    <col min="21" max="21" width="13.6640625" bestFit="1" customWidth="1"/>
    <col min="22" max="23" width="10.77734375" bestFit="1" customWidth="1"/>
  </cols>
  <sheetData>
    <row r="1" spans="1:23" x14ac:dyDescent="0.3">
      <c r="A1" s="8" t="s">
        <v>264</v>
      </c>
    </row>
    <row r="3" spans="1:23" x14ac:dyDescent="0.3">
      <c r="A3" t="s">
        <v>0</v>
      </c>
      <c r="B3" t="s">
        <v>1</v>
      </c>
      <c r="C3" t="s">
        <v>185</v>
      </c>
      <c r="D3" t="s">
        <v>2</v>
      </c>
      <c r="E3" t="s">
        <v>3</v>
      </c>
      <c r="F3" t="s">
        <v>186</v>
      </c>
      <c r="G3" t="s">
        <v>187</v>
      </c>
      <c r="H3" t="s">
        <v>5</v>
      </c>
      <c r="I3" t="s">
        <v>6</v>
      </c>
      <c r="J3" t="s">
        <v>7</v>
      </c>
      <c r="K3" t="s">
        <v>8</v>
      </c>
      <c r="L3" t="s">
        <v>9</v>
      </c>
      <c r="M3" t="s">
        <v>10</v>
      </c>
      <c r="N3" t="s">
        <v>188</v>
      </c>
      <c r="O3" t="s">
        <v>189</v>
      </c>
      <c r="P3" t="s">
        <v>190</v>
      </c>
      <c r="Q3" t="s">
        <v>191</v>
      </c>
      <c r="R3" t="s">
        <v>192</v>
      </c>
      <c r="S3" t="s">
        <v>193</v>
      </c>
      <c r="T3" t="s">
        <v>196</v>
      </c>
      <c r="U3" t="s">
        <v>197</v>
      </c>
      <c r="V3" t="s">
        <v>198</v>
      </c>
      <c r="W3" t="s">
        <v>199</v>
      </c>
    </row>
    <row r="4" spans="1:23" x14ac:dyDescent="0.3">
      <c r="A4" t="s">
        <v>39</v>
      </c>
      <c r="B4" s="1">
        <v>45807</v>
      </c>
      <c r="C4" t="s">
        <v>247</v>
      </c>
      <c r="D4" t="s">
        <v>40</v>
      </c>
      <c r="E4" t="s">
        <v>41</v>
      </c>
      <c r="F4" t="s">
        <v>28</v>
      </c>
      <c r="G4" t="s">
        <v>63</v>
      </c>
      <c r="H4" t="s">
        <v>42</v>
      </c>
      <c r="I4">
        <v>450</v>
      </c>
      <c r="J4">
        <v>3</v>
      </c>
      <c r="K4">
        <v>0</v>
      </c>
      <c r="L4" t="s">
        <v>16</v>
      </c>
      <c r="M4" t="s">
        <v>43</v>
      </c>
      <c r="N4">
        <v>1350</v>
      </c>
      <c r="O4">
        <v>0</v>
      </c>
      <c r="P4">
        <v>1350</v>
      </c>
      <c r="Q4">
        <v>0</v>
      </c>
      <c r="R4" t="s">
        <v>262</v>
      </c>
      <c r="S4">
        <v>0</v>
      </c>
    </row>
    <row r="5" spans="1:23" x14ac:dyDescent="0.3">
      <c r="A5" t="s">
        <v>60</v>
      </c>
      <c r="B5" s="1">
        <v>45738</v>
      </c>
      <c r="C5" t="s">
        <v>214</v>
      </c>
      <c r="D5" t="s">
        <v>61</v>
      </c>
      <c r="E5" t="s">
        <v>62</v>
      </c>
      <c r="F5" t="s">
        <v>36</v>
      </c>
      <c r="G5" t="s">
        <v>63</v>
      </c>
      <c r="H5" t="s">
        <v>63</v>
      </c>
      <c r="I5">
        <v>850</v>
      </c>
      <c r="J5">
        <v>4</v>
      </c>
      <c r="K5">
        <v>0.1</v>
      </c>
      <c r="L5" t="s">
        <v>16</v>
      </c>
      <c r="M5" t="s">
        <v>17</v>
      </c>
      <c r="N5">
        <v>3400</v>
      </c>
      <c r="O5">
        <v>340</v>
      </c>
      <c r="P5">
        <v>3060</v>
      </c>
      <c r="Q5">
        <v>3060</v>
      </c>
      <c r="R5" t="s">
        <v>262</v>
      </c>
      <c r="S5">
        <v>0</v>
      </c>
    </row>
    <row r="6" spans="1:23" x14ac:dyDescent="0.3">
      <c r="A6" t="s">
        <v>79</v>
      </c>
      <c r="B6" s="1">
        <v>45669</v>
      </c>
      <c r="C6" t="s">
        <v>243</v>
      </c>
      <c r="D6" t="s">
        <v>80</v>
      </c>
      <c r="E6" t="s">
        <v>81</v>
      </c>
      <c r="F6" t="s">
        <v>14</v>
      </c>
      <c r="G6" t="s">
        <v>63</v>
      </c>
      <c r="H6" t="s">
        <v>42</v>
      </c>
      <c r="I6">
        <v>1290</v>
      </c>
      <c r="J6">
        <v>2</v>
      </c>
      <c r="K6">
        <v>0</v>
      </c>
      <c r="L6" t="s">
        <v>16</v>
      </c>
      <c r="M6" t="s">
        <v>32</v>
      </c>
      <c r="N6">
        <v>2580</v>
      </c>
      <c r="O6">
        <v>0</v>
      </c>
      <c r="P6">
        <v>2580</v>
      </c>
      <c r="Q6">
        <v>0</v>
      </c>
      <c r="R6" t="s">
        <v>262</v>
      </c>
      <c r="S6">
        <v>0</v>
      </c>
    </row>
    <row r="7" spans="1:23" x14ac:dyDescent="0.3">
      <c r="A7" t="s">
        <v>118</v>
      </c>
      <c r="B7" s="1">
        <v>45840</v>
      </c>
      <c r="C7" t="s">
        <v>233</v>
      </c>
      <c r="D7" t="s">
        <v>119</v>
      </c>
      <c r="E7" t="s">
        <v>120</v>
      </c>
      <c r="F7" t="s">
        <v>47</v>
      </c>
      <c r="G7" t="s">
        <v>63</v>
      </c>
      <c r="H7" t="s">
        <v>63</v>
      </c>
      <c r="I7">
        <v>980</v>
      </c>
      <c r="J7">
        <v>2</v>
      </c>
      <c r="K7">
        <v>0.15</v>
      </c>
      <c r="L7" t="s">
        <v>16</v>
      </c>
      <c r="M7" t="s">
        <v>43</v>
      </c>
      <c r="N7">
        <v>1960</v>
      </c>
      <c r="O7">
        <v>294</v>
      </c>
      <c r="P7">
        <v>1666</v>
      </c>
      <c r="Q7">
        <v>0</v>
      </c>
      <c r="R7" t="s">
        <v>262</v>
      </c>
      <c r="S7">
        <v>0</v>
      </c>
    </row>
    <row r="8" spans="1:23" x14ac:dyDescent="0.3">
      <c r="A8" t="s">
        <v>134</v>
      </c>
      <c r="B8" s="1">
        <v>45812</v>
      </c>
      <c r="C8" t="s">
        <v>235</v>
      </c>
      <c r="D8" t="s">
        <v>135</v>
      </c>
      <c r="E8" t="s">
        <v>136</v>
      </c>
      <c r="F8" t="s">
        <v>28</v>
      </c>
      <c r="G8" t="s">
        <v>63</v>
      </c>
      <c r="H8" t="s">
        <v>63</v>
      </c>
      <c r="I8">
        <v>620</v>
      </c>
      <c r="J8">
        <v>4</v>
      </c>
      <c r="K8">
        <v>0.1</v>
      </c>
      <c r="L8" t="s">
        <v>16</v>
      </c>
      <c r="M8" t="s">
        <v>17</v>
      </c>
      <c r="N8">
        <v>2480</v>
      </c>
      <c r="O8">
        <v>248</v>
      </c>
      <c r="P8">
        <v>2232</v>
      </c>
      <c r="Q8">
        <v>2232</v>
      </c>
      <c r="R8" t="s">
        <v>262</v>
      </c>
      <c r="S8">
        <v>0</v>
      </c>
    </row>
    <row r="9" spans="1:23" x14ac:dyDescent="0.3">
      <c r="A9" t="s">
        <v>149</v>
      </c>
      <c r="B9" s="1">
        <v>45777</v>
      </c>
      <c r="C9" t="s">
        <v>244</v>
      </c>
      <c r="D9" t="s">
        <v>150</v>
      </c>
      <c r="E9" t="s">
        <v>151</v>
      </c>
      <c r="F9" t="s">
        <v>36</v>
      </c>
      <c r="G9" t="s">
        <v>63</v>
      </c>
      <c r="H9" t="s">
        <v>63</v>
      </c>
      <c r="I9">
        <v>1450</v>
      </c>
      <c r="J9">
        <v>2</v>
      </c>
      <c r="K9">
        <v>0</v>
      </c>
      <c r="L9" t="s">
        <v>16</v>
      </c>
      <c r="M9" t="s">
        <v>17</v>
      </c>
      <c r="N9">
        <v>2900</v>
      </c>
      <c r="O9">
        <v>0</v>
      </c>
      <c r="P9">
        <v>2900</v>
      </c>
      <c r="Q9">
        <v>2900</v>
      </c>
      <c r="R9" t="s">
        <v>262</v>
      </c>
      <c r="S9">
        <v>0</v>
      </c>
    </row>
    <row r="10" spans="1:23" x14ac:dyDescent="0.3">
      <c r="A10" t="s">
        <v>179</v>
      </c>
      <c r="B10" s="1">
        <v>45728</v>
      </c>
      <c r="C10" t="s">
        <v>218</v>
      </c>
      <c r="D10" t="s">
        <v>180</v>
      </c>
      <c r="E10" t="s">
        <v>181</v>
      </c>
      <c r="F10" t="s">
        <v>47</v>
      </c>
      <c r="G10" t="s">
        <v>63</v>
      </c>
      <c r="H10" t="s">
        <v>63</v>
      </c>
      <c r="I10">
        <v>1150</v>
      </c>
      <c r="J10">
        <v>2</v>
      </c>
      <c r="K10">
        <v>0.1</v>
      </c>
      <c r="L10" t="s">
        <v>16</v>
      </c>
      <c r="M10" t="s">
        <v>17</v>
      </c>
      <c r="N10">
        <v>2300</v>
      </c>
      <c r="O10">
        <v>230</v>
      </c>
      <c r="P10">
        <v>2070</v>
      </c>
      <c r="Q10">
        <v>2070</v>
      </c>
      <c r="R10" t="s">
        <v>262</v>
      </c>
      <c r="S10">
        <v>0</v>
      </c>
    </row>
    <row r="11" spans="1:23" x14ac:dyDescent="0.3">
      <c r="A11" t="s">
        <v>99</v>
      </c>
      <c r="B11" s="1">
        <v>45693</v>
      </c>
      <c r="C11" t="s">
        <v>215</v>
      </c>
      <c r="D11" t="s">
        <v>101</v>
      </c>
      <c r="E11" t="s">
        <v>102</v>
      </c>
      <c r="F11" t="s">
        <v>36</v>
      </c>
      <c r="G11" t="s">
        <v>63</v>
      </c>
      <c r="H11" t="s">
        <v>42</v>
      </c>
      <c r="I11">
        <v>1650</v>
      </c>
      <c r="J11">
        <v>3</v>
      </c>
      <c r="K11">
        <v>0.1</v>
      </c>
      <c r="L11" t="s">
        <v>16</v>
      </c>
      <c r="M11" t="s">
        <v>17</v>
      </c>
      <c r="N11">
        <v>4950</v>
      </c>
      <c r="O11">
        <v>495</v>
      </c>
      <c r="P11">
        <v>4455</v>
      </c>
      <c r="Q11">
        <v>4455</v>
      </c>
      <c r="R11" t="s">
        <v>262</v>
      </c>
      <c r="S11">
        <v>0</v>
      </c>
    </row>
    <row r="12" spans="1:23" x14ac:dyDescent="0.3">
      <c r="A12" t="s">
        <v>163</v>
      </c>
      <c r="B12" s="1">
        <v>45665</v>
      </c>
      <c r="C12" t="s">
        <v>226</v>
      </c>
      <c r="D12" t="s">
        <v>165</v>
      </c>
      <c r="E12" t="s">
        <v>52</v>
      </c>
      <c r="F12" t="s">
        <v>14</v>
      </c>
      <c r="G12" t="s">
        <v>63</v>
      </c>
      <c r="H12" t="s">
        <v>42</v>
      </c>
      <c r="I12">
        <v>750</v>
      </c>
      <c r="J12">
        <v>3</v>
      </c>
      <c r="K12">
        <v>0</v>
      </c>
      <c r="L12" t="s">
        <v>31</v>
      </c>
      <c r="M12" t="s">
        <v>17</v>
      </c>
      <c r="N12">
        <v>2250</v>
      </c>
      <c r="O12">
        <v>0</v>
      </c>
      <c r="P12">
        <v>2250</v>
      </c>
      <c r="Q12">
        <v>2250</v>
      </c>
      <c r="R12" t="s">
        <v>262</v>
      </c>
      <c r="S12">
        <v>2250</v>
      </c>
    </row>
    <row r="13" spans="1:23" x14ac:dyDescent="0.3">
      <c r="A13" t="s">
        <v>33</v>
      </c>
      <c r="B13" s="1">
        <v>45829</v>
      </c>
      <c r="C13" t="s">
        <v>241</v>
      </c>
      <c r="D13" t="s">
        <v>34</v>
      </c>
      <c r="E13" t="s">
        <v>35</v>
      </c>
      <c r="F13" t="s">
        <v>36</v>
      </c>
      <c r="G13" t="s">
        <v>88</v>
      </c>
      <c r="H13" t="s">
        <v>37</v>
      </c>
      <c r="I13">
        <v>54990</v>
      </c>
      <c r="J13">
        <v>1</v>
      </c>
      <c r="K13">
        <v>0.15</v>
      </c>
      <c r="L13" t="s">
        <v>38</v>
      </c>
      <c r="M13" t="s">
        <v>17</v>
      </c>
      <c r="N13">
        <v>54990</v>
      </c>
      <c r="O13">
        <v>8248.5</v>
      </c>
      <c r="P13">
        <v>46741.5</v>
      </c>
      <c r="Q13">
        <v>46741.5</v>
      </c>
      <c r="R13" t="s">
        <v>261</v>
      </c>
      <c r="S13">
        <v>14999</v>
      </c>
      <c r="U13" t="s">
        <v>263</v>
      </c>
    </row>
    <row r="14" spans="1:23" x14ac:dyDescent="0.3">
      <c r="A14" t="s">
        <v>64</v>
      </c>
      <c r="B14" s="1">
        <v>45720</v>
      </c>
      <c r="C14" t="s">
        <v>228</v>
      </c>
      <c r="D14" t="s">
        <v>65</v>
      </c>
      <c r="E14" t="s">
        <v>66</v>
      </c>
      <c r="F14" t="s">
        <v>14</v>
      </c>
      <c r="G14" t="s">
        <v>88</v>
      </c>
      <c r="H14" t="s">
        <v>67</v>
      </c>
      <c r="I14">
        <v>32000</v>
      </c>
      <c r="J14">
        <v>1</v>
      </c>
      <c r="K14">
        <v>0.12</v>
      </c>
      <c r="L14" t="s">
        <v>23</v>
      </c>
      <c r="M14" t="s">
        <v>17</v>
      </c>
      <c r="N14">
        <v>32000</v>
      </c>
      <c r="O14">
        <v>3840</v>
      </c>
      <c r="P14">
        <v>28160</v>
      </c>
      <c r="Q14">
        <v>28160</v>
      </c>
      <c r="R14" t="s">
        <v>261</v>
      </c>
      <c r="S14">
        <v>28160</v>
      </c>
    </row>
    <row r="15" spans="1:23" x14ac:dyDescent="0.3">
      <c r="A15" t="s">
        <v>104</v>
      </c>
      <c r="B15" s="1">
        <v>45863</v>
      </c>
      <c r="C15" t="s">
        <v>205</v>
      </c>
      <c r="D15" t="s">
        <v>105</v>
      </c>
      <c r="E15" t="s">
        <v>106</v>
      </c>
      <c r="F15" t="s">
        <v>87</v>
      </c>
      <c r="G15" t="s">
        <v>88</v>
      </c>
      <c r="H15" t="s">
        <v>67</v>
      </c>
      <c r="I15">
        <v>65000</v>
      </c>
      <c r="J15">
        <v>1</v>
      </c>
      <c r="K15">
        <v>0.15</v>
      </c>
      <c r="L15" t="s">
        <v>23</v>
      </c>
      <c r="M15" t="s">
        <v>17</v>
      </c>
      <c r="N15">
        <v>65000</v>
      </c>
      <c r="O15">
        <v>9750</v>
      </c>
      <c r="P15">
        <v>55250</v>
      </c>
      <c r="Q15">
        <v>55250</v>
      </c>
      <c r="R15" t="s">
        <v>261</v>
      </c>
      <c r="S15">
        <v>0</v>
      </c>
    </row>
    <row r="16" spans="1:23" x14ac:dyDescent="0.3">
      <c r="A16" t="s">
        <v>122</v>
      </c>
      <c r="B16" s="1">
        <v>45834</v>
      </c>
      <c r="C16" t="s">
        <v>207</v>
      </c>
      <c r="D16" t="s">
        <v>123</v>
      </c>
      <c r="E16" t="s">
        <v>124</v>
      </c>
      <c r="F16" t="s">
        <v>28</v>
      </c>
      <c r="G16" t="s">
        <v>88</v>
      </c>
      <c r="H16" t="s">
        <v>67</v>
      </c>
      <c r="I16">
        <v>28500</v>
      </c>
      <c r="J16">
        <v>1</v>
      </c>
      <c r="K16">
        <v>0.2</v>
      </c>
      <c r="L16" t="s">
        <v>38</v>
      </c>
      <c r="M16" t="s">
        <v>17</v>
      </c>
      <c r="N16">
        <v>28500</v>
      </c>
      <c r="O16">
        <v>5700</v>
      </c>
      <c r="P16">
        <v>22800</v>
      </c>
      <c r="Q16">
        <v>22800</v>
      </c>
      <c r="R16" t="s">
        <v>261</v>
      </c>
      <c r="S16">
        <v>0</v>
      </c>
    </row>
    <row r="17" spans="1:21" x14ac:dyDescent="0.3">
      <c r="A17" t="s">
        <v>137</v>
      </c>
      <c r="B17" s="1">
        <v>45801</v>
      </c>
      <c r="C17" t="s">
        <v>213</v>
      </c>
      <c r="D17" t="s">
        <v>138</v>
      </c>
      <c r="E17" t="s">
        <v>27</v>
      </c>
      <c r="F17" t="s">
        <v>28</v>
      </c>
      <c r="G17" t="s">
        <v>88</v>
      </c>
      <c r="H17" t="s">
        <v>67</v>
      </c>
      <c r="I17">
        <v>48999</v>
      </c>
      <c r="J17">
        <v>1</v>
      </c>
      <c r="K17">
        <v>0.15</v>
      </c>
      <c r="L17" t="s">
        <v>23</v>
      </c>
      <c r="M17" t="s">
        <v>17</v>
      </c>
      <c r="N17">
        <v>48999</v>
      </c>
      <c r="O17">
        <v>7349.8499999999995</v>
      </c>
      <c r="P17">
        <v>41649.15</v>
      </c>
      <c r="Q17">
        <v>41649.15</v>
      </c>
      <c r="R17" t="s">
        <v>261</v>
      </c>
      <c r="S17">
        <v>0</v>
      </c>
    </row>
    <row r="18" spans="1:21" x14ac:dyDescent="0.3">
      <c r="A18" t="s">
        <v>166</v>
      </c>
      <c r="B18" s="1">
        <v>45749</v>
      </c>
      <c r="C18" t="s">
        <v>230</v>
      </c>
      <c r="D18" t="s">
        <v>167</v>
      </c>
      <c r="E18" t="s">
        <v>13</v>
      </c>
      <c r="F18" t="s">
        <v>14</v>
      </c>
      <c r="G18" t="s">
        <v>88</v>
      </c>
      <c r="H18" t="s">
        <v>67</v>
      </c>
      <c r="I18">
        <v>85000</v>
      </c>
      <c r="J18">
        <v>1</v>
      </c>
      <c r="K18">
        <v>0.2</v>
      </c>
      <c r="L18" t="s">
        <v>23</v>
      </c>
      <c r="M18" t="s">
        <v>17</v>
      </c>
      <c r="N18">
        <v>85000</v>
      </c>
      <c r="O18">
        <v>17000</v>
      </c>
      <c r="P18">
        <v>68000</v>
      </c>
      <c r="Q18">
        <v>68000</v>
      </c>
      <c r="R18" t="s">
        <v>261</v>
      </c>
      <c r="S18">
        <v>68000</v>
      </c>
    </row>
    <row r="19" spans="1:21" x14ac:dyDescent="0.3">
      <c r="A19" t="s">
        <v>182</v>
      </c>
      <c r="B19" s="1">
        <v>45725</v>
      </c>
      <c r="C19" t="s">
        <v>249</v>
      </c>
      <c r="D19" t="s">
        <v>183</v>
      </c>
      <c r="E19" t="s">
        <v>184</v>
      </c>
      <c r="F19" t="s">
        <v>28</v>
      </c>
      <c r="G19" t="s">
        <v>88</v>
      </c>
      <c r="H19" t="s">
        <v>67</v>
      </c>
      <c r="I19">
        <v>39999</v>
      </c>
      <c r="J19">
        <v>1</v>
      </c>
      <c r="K19">
        <v>0.15</v>
      </c>
      <c r="L19" t="s">
        <v>23</v>
      </c>
      <c r="M19" t="s">
        <v>17</v>
      </c>
      <c r="N19">
        <v>39999</v>
      </c>
      <c r="O19">
        <v>5999.8499999999995</v>
      </c>
      <c r="P19">
        <v>33999.15</v>
      </c>
      <c r="Q19">
        <v>33999.15</v>
      </c>
      <c r="R19" t="s">
        <v>261</v>
      </c>
      <c r="S19">
        <v>0</v>
      </c>
    </row>
    <row r="20" spans="1:21" x14ac:dyDescent="0.3">
      <c r="A20" t="s">
        <v>83</v>
      </c>
      <c r="B20" s="1">
        <v>45698</v>
      </c>
      <c r="C20" t="s">
        <v>222</v>
      </c>
      <c r="D20" t="s">
        <v>85</v>
      </c>
      <c r="E20" t="s">
        <v>86</v>
      </c>
      <c r="F20" t="s">
        <v>87</v>
      </c>
      <c r="G20" t="s">
        <v>88</v>
      </c>
      <c r="H20" t="s">
        <v>67</v>
      </c>
      <c r="I20">
        <v>42999</v>
      </c>
      <c r="J20">
        <v>1</v>
      </c>
      <c r="K20">
        <v>0.18</v>
      </c>
      <c r="L20" t="s">
        <v>23</v>
      </c>
      <c r="M20" t="s">
        <v>17</v>
      </c>
      <c r="N20">
        <v>42999</v>
      </c>
      <c r="O20">
        <v>7739.82</v>
      </c>
      <c r="P20">
        <v>35259.18</v>
      </c>
      <c r="Q20">
        <v>35259.18</v>
      </c>
      <c r="R20" t="s">
        <v>261</v>
      </c>
      <c r="S20">
        <v>0</v>
      </c>
    </row>
    <row r="21" spans="1:21" x14ac:dyDescent="0.3">
      <c r="A21" t="s">
        <v>153</v>
      </c>
      <c r="B21" s="1">
        <v>45672</v>
      </c>
      <c r="C21" t="s">
        <v>236</v>
      </c>
      <c r="D21" t="s">
        <v>155</v>
      </c>
      <c r="E21" t="s">
        <v>78</v>
      </c>
      <c r="F21" t="s">
        <v>47</v>
      </c>
      <c r="G21" t="s">
        <v>88</v>
      </c>
      <c r="H21" t="s">
        <v>67</v>
      </c>
      <c r="I21">
        <v>22499</v>
      </c>
      <c r="J21">
        <v>1</v>
      </c>
      <c r="K21">
        <v>0.1</v>
      </c>
      <c r="L21" t="s">
        <v>23</v>
      </c>
      <c r="M21" t="s">
        <v>17</v>
      </c>
      <c r="N21">
        <v>22499</v>
      </c>
      <c r="O21">
        <v>2249.9</v>
      </c>
      <c r="P21">
        <v>20249.099999999999</v>
      </c>
      <c r="Q21">
        <v>20249.099999999999</v>
      </c>
      <c r="R21" t="s">
        <v>261</v>
      </c>
      <c r="S21">
        <v>0</v>
      </c>
    </row>
    <row r="22" spans="1:21" x14ac:dyDescent="0.3">
      <c r="A22" t="s">
        <v>18</v>
      </c>
      <c r="B22" s="1">
        <v>45852</v>
      </c>
      <c r="C22" t="s">
        <v>229</v>
      </c>
      <c r="D22" t="s">
        <v>19</v>
      </c>
      <c r="E22" t="s">
        <v>20</v>
      </c>
      <c r="F22" t="s">
        <v>14</v>
      </c>
      <c r="G22" t="s">
        <v>53</v>
      </c>
      <c r="H22" t="s">
        <v>21</v>
      </c>
      <c r="I22">
        <v>2499</v>
      </c>
      <c r="J22">
        <v>2</v>
      </c>
      <c r="K22">
        <v>0.05</v>
      </c>
      <c r="L22" t="s">
        <v>23</v>
      </c>
      <c r="M22" t="s">
        <v>17</v>
      </c>
      <c r="N22">
        <v>4998</v>
      </c>
      <c r="O22">
        <v>249.9</v>
      </c>
      <c r="P22">
        <v>4748.1000000000004</v>
      </c>
      <c r="Q22">
        <v>4748.1000000000004</v>
      </c>
      <c r="R22" t="s">
        <v>262</v>
      </c>
      <c r="S22">
        <v>4748.1000000000004</v>
      </c>
      <c r="U22">
        <v>14999</v>
      </c>
    </row>
    <row r="23" spans="1:21" x14ac:dyDescent="0.3">
      <c r="A23" t="s">
        <v>73</v>
      </c>
      <c r="B23" s="1">
        <v>45702</v>
      </c>
      <c r="C23" t="s">
        <v>224</v>
      </c>
      <c r="D23" t="s">
        <v>74</v>
      </c>
      <c r="E23" t="s">
        <v>75</v>
      </c>
      <c r="F23" t="s">
        <v>28</v>
      </c>
      <c r="G23" t="s">
        <v>53</v>
      </c>
      <c r="H23" t="s">
        <v>21</v>
      </c>
      <c r="I23">
        <v>1800</v>
      </c>
      <c r="J23">
        <v>3</v>
      </c>
      <c r="K23">
        <v>0.15</v>
      </c>
      <c r="L23" t="s">
        <v>31</v>
      </c>
      <c r="M23" t="s">
        <v>17</v>
      </c>
      <c r="N23">
        <v>5400</v>
      </c>
      <c r="O23">
        <v>810</v>
      </c>
      <c r="P23">
        <v>4590</v>
      </c>
      <c r="Q23">
        <v>4590</v>
      </c>
      <c r="R23" t="s">
        <v>262</v>
      </c>
      <c r="S23">
        <v>0</v>
      </c>
    </row>
    <row r="24" spans="1:21" x14ac:dyDescent="0.3">
      <c r="A24" t="s">
        <v>89</v>
      </c>
      <c r="B24" s="1">
        <v>45887</v>
      </c>
      <c r="C24" t="s">
        <v>220</v>
      </c>
      <c r="D24" t="s">
        <v>90</v>
      </c>
      <c r="E24" t="s">
        <v>91</v>
      </c>
      <c r="F24" t="s">
        <v>36</v>
      </c>
      <c r="G24" t="s">
        <v>53</v>
      </c>
      <c r="H24" t="s">
        <v>21</v>
      </c>
      <c r="I24">
        <v>1450</v>
      </c>
      <c r="J24">
        <v>2</v>
      </c>
      <c r="K24">
        <v>0.05</v>
      </c>
      <c r="L24" t="s">
        <v>16</v>
      </c>
      <c r="M24" t="s">
        <v>17</v>
      </c>
      <c r="N24">
        <v>2900</v>
      </c>
      <c r="O24">
        <v>145</v>
      </c>
      <c r="P24">
        <v>2755</v>
      </c>
      <c r="Q24">
        <v>2755</v>
      </c>
      <c r="R24" t="s">
        <v>262</v>
      </c>
      <c r="S24">
        <v>0</v>
      </c>
    </row>
    <row r="25" spans="1:21" x14ac:dyDescent="0.3">
      <c r="A25" t="s">
        <v>108</v>
      </c>
      <c r="B25" s="1">
        <v>45857</v>
      </c>
      <c r="C25" t="s">
        <v>245</v>
      </c>
      <c r="D25" t="s">
        <v>109</v>
      </c>
      <c r="E25" t="s">
        <v>110</v>
      </c>
      <c r="F25" t="s">
        <v>28</v>
      </c>
      <c r="G25" t="s">
        <v>53</v>
      </c>
      <c r="H25" t="s">
        <v>21</v>
      </c>
      <c r="I25">
        <v>2800</v>
      </c>
      <c r="J25">
        <v>2</v>
      </c>
      <c r="K25">
        <v>0.05</v>
      </c>
      <c r="L25" t="s">
        <v>16</v>
      </c>
      <c r="M25" t="s">
        <v>32</v>
      </c>
      <c r="N25">
        <v>5600</v>
      </c>
      <c r="O25">
        <v>280</v>
      </c>
      <c r="P25">
        <v>5320</v>
      </c>
      <c r="Q25">
        <v>0</v>
      </c>
      <c r="R25" t="s">
        <v>262</v>
      </c>
      <c r="S25">
        <v>0</v>
      </c>
    </row>
    <row r="26" spans="1:21" x14ac:dyDescent="0.3">
      <c r="A26" t="s">
        <v>125</v>
      </c>
      <c r="B26" s="1">
        <v>45823</v>
      </c>
      <c r="C26" t="s">
        <v>223</v>
      </c>
      <c r="D26" t="s">
        <v>126</v>
      </c>
      <c r="E26" t="s">
        <v>52</v>
      </c>
      <c r="F26" t="s">
        <v>14</v>
      </c>
      <c r="G26" t="s">
        <v>53</v>
      </c>
      <c r="H26" t="s">
        <v>21</v>
      </c>
      <c r="I26">
        <v>3450</v>
      </c>
      <c r="J26">
        <v>2</v>
      </c>
      <c r="K26">
        <v>0.1</v>
      </c>
      <c r="L26" t="s">
        <v>16</v>
      </c>
      <c r="M26" t="s">
        <v>17</v>
      </c>
      <c r="N26">
        <v>6900</v>
      </c>
      <c r="O26">
        <v>690</v>
      </c>
      <c r="P26">
        <v>6210</v>
      </c>
      <c r="Q26">
        <v>6210</v>
      </c>
      <c r="R26" t="s">
        <v>262</v>
      </c>
      <c r="S26">
        <v>6210</v>
      </c>
    </row>
    <row r="27" spans="1:21" x14ac:dyDescent="0.3">
      <c r="A27" t="s">
        <v>156</v>
      </c>
      <c r="B27" s="1">
        <v>45772</v>
      </c>
      <c r="C27" t="s">
        <v>209</v>
      </c>
      <c r="D27" t="s">
        <v>157</v>
      </c>
      <c r="E27" t="s">
        <v>46</v>
      </c>
      <c r="F27" t="s">
        <v>47</v>
      </c>
      <c r="G27" t="s">
        <v>53</v>
      </c>
      <c r="H27" t="s">
        <v>21</v>
      </c>
      <c r="I27">
        <v>4200</v>
      </c>
      <c r="J27">
        <v>1</v>
      </c>
      <c r="K27">
        <v>0.15</v>
      </c>
      <c r="L27" t="s">
        <v>16</v>
      </c>
      <c r="M27" t="s">
        <v>17</v>
      </c>
      <c r="N27">
        <v>4200</v>
      </c>
      <c r="O27">
        <v>630</v>
      </c>
      <c r="P27">
        <v>3570</v>
      </c>
      <c r="Q27">
        <v>3570</v>
      </c>
      <c r="R27" t="s">
        <v>262</v>
      </c>
      <c r="S27">
        <v>0</v>
      </c>
    </row>
    <row r="28" spans="1:21" x14ac:dyDescent="0.3">
      <c r="A28" t="s">
        <v>168</v>
      </c>
      <c r="B28" s="1">
        <v>45743</v>
      </c>
      <c r="C28" t="s">
        <v>217</v>
      </c>
      <c r="D28" t="s">
        <v>169</v>
      </c>
      <c r="E28" t="s">
        <v>170</v>
      </c>
      <c r="F28" t="s">
        <v>28</v>
      </c>
      <c r="G28" t="s">
        <v>53</v>
      </c>
      <c r="H28" t="s">
        <v>21</v>
      </c>
      <c r="I28">
        <v>2600</v>
      </c>
      <c r="J28">
        <v>2</v>
      </c>
      <c r="K28">
        <v>0.05</v>
      </c>
      <c r="L28" t="s">
        <v>16</v>
      </c>
      <c r="M28" t="s">
        <v>17</v>
      </c>
      <c r="N28">
        <v>5200</v>
      </c>
      <c r="O28">
        <v>260</v>
      </c>
      <c r="P28">
        <v>4940</v>
      </c>
      <c r="Q28">
        <v>4940</v>
      </c>
      <c r="R28" t="s">
        <v>262</v>
      </c>
      <c r="S28">
        <v>0</v>
      </c>
    </row>
    <row r="29" spans="1:21" x14ac:dyDescent="0.3">
      <c r="A29" t="s">
        <v>49</v>
      </c>
      <c r="B29" s="1">
        <v>45710</v>
      </c>
      <c r="C29" t="s">
        <v>234</v>
      </c>
      <c r="D29" t="s">
        <v>51</v>
      </c>
      <c r="E29" t="s">
        <v>52</v>
      </c>
      <c r="F29" t="s">
        <v>14</v>
      </c>
      <c r="G29" t="s">
        <v>53</v>
      </c>
      <c r="H29" t="s">
        <v>21</v>
      </c>
      <c r="I29">
        <v>3200</v>
      </c>
      <c r="J29">
        <v>2</v>
      </c>
      <c r="K29">
        <v>0.2</v>
      </c>
      <c r="L29" t="s">
        <v>54</v>
      </c>
      <c r="M29" t="s">
        <v>17</v>
      </c>
      <c r="N29">
        <v>6400</v>
      </c>
      <c r="O29">
        <v>1280</v>
      </c>
      <c r="P29">
        <v>5120</v>
      </c>
      <c r="Q29">
        <v>5120</v>
      </c>
      <c r="R29" t="s">
        <v>261</v>
      </c>
      <c r="S29">
        <v>5120</v>
      </c>
    </row>
    <row r="30" spans="1:21" x14ac:dyDescent="0.3">
      <c r="A30" t="s">
        <v>139</v>
      </c>
      <c r="B30" s="1">
        <v>45675</v>
      </c>
      <c r="C30" t="s">
        <v>225</v>
      </c>
      <c r="D30" t="s">
        <v>141</v>
      </c>
      <c r="E30" t="s">
        <v>142</v>
      </c>
      <c r="F30" t="s">
        <v>28</v>
      </c>
      <c r="G30" t="s">
        <v>53</v>
      </c>
      <c r="H30" t="s">
        <v>21</v>
      </c>
      <c r="I30">
        <v>1950</v>
      </c>
      <c r="J30">
        <v>3</v>
      </c>
      <c r="K30">
        <v>0.1</v>
      </c>
      <c r="L30" t="s">
        <v>16</v>
      </c>
      <c r="M30" t="s">
        <v>17</v>
      </c>
      <c r="N30">
        <v>5850</v>
      </c>
      <c r="O30">
        <v>585</v>
      </c>
      <c r="P30">
        <v>5265</v>
      </c>
      <c r="Q30">
        <v>5265</v>
      </c>
      <c r="R30" t="s">
        <v>262</v>
      </c>
      <c r="S30">
        <v>0</v>
      </c>
    </row>
    <row r="31" spans="1:21" x14ac:dyDescent="0.3">
      <c r="A31" t="s">
        <v>55</v>
      </c>
      <c r="B31" s="1">
        <v>45761</v>
      </c>
      <c r="C31" t="s">
        <v>219</v>
      </c>
      <c r="D31" t="s">
        <v>56</v>
      </c>
      <c r="E31" t="s">
        <v>57</v>
      </c>
      <c r="F31" t="s">
        <v>47</v>
      </c>
      <c r="G31" t="s">
        <v>29</v>
      </c>
      <c r="H31" t="s">
        <v>58</v>
      </c>
      <c r="I31">
        <v>4100</v>
      </c>
      <c r="J31">
        <v>1</v>
      </c>
      <c r="K31">
        <v>0.05</v>
      </c>
      <c r="L31" t="s">
        <v>31</v>
      </c>
      <c r="M31" t="s">
        <v>32</v>
      </c>
      <c r="N31">
        <v>4100</v>
      </c>
      <c r="O31">
        <v>205</v>
      </c>
      <c r="P31">
        <v>3895</v>
      </c>
      <c r="Q31">
        <v>0</v>
      </c>
      <c r="R31" t="s">
        <v>262</v>
      </c>
      <c r="S31">
        <v>0</v>
      </c>
    </row>
    <row r="32" spans="1:21" x14ac:dyDescent="0.3">
      <c r="A32" t="s">
        <v>76</v>
      </c>
      <c r="B32" s="1">
        <v>45683</v>
      </c>
      <c r="C32" t="s">
        <v>242</v>
      </c>
      <c r="D32" t="s">
        <v>77</v>
      </c>
      <c r="E32" t="s">
        <v>78</v>
      </c>
      <c r="F32" t="s">
        <v>47</v>
      </c>
      <c r="G32" t="s">
        <v>29</v>
      </c>
      <c r="H32" t="s">
        <v>29</v>
      </c>
      <c r="I32">
        <v>6200</v>
      </c>
      <c r="J32">
        <v>1</v>
      </c>
      <c r="K32">
        <v>0.1</v>
      </c>
      <c r="L32" t="s">
        <v>38</v>
      </c>
      <c r="M32" t="s">
        <v>17</v>
      </c>
      <c r="N32">
        <v>6200</v>
      </c>
      <c r="O32">
        <v>620</v>
      </c>
      <c r="P32">
        <v>5580</v>
      </c>
      <c r="Q32">
        <v>5580</v>
      </c>
      <c r="R32" t="s">
        <v>262</v>
      </c>
      <c r="S32">
        <v>0</v>
      </c>
    </row>
    <row r="33" spans="1:21" x14ac:dyDescent="0.3">
      <c r="A33" t="s">
        <v>95</v>
      </c>
      <c r="B33" s="1">
        <v>45868</v>
      </c>
      <c r="C33" t="s">
        <v>211</v>
      </c>
      <c r="D33" t="s">
        <v>96</v>
      </c>
      <c r="E33" t="s">
        <v>97</v>
      </c>
      <c r="F33" t="s">
        <v>36</v>
      </c>
      <c r="G33" t="s">
        <v>29</v>
      </c>
      <c r="H33" t="s">
        <v>29</v>
      </c>
      <c r="I33">
        <v>3500</v>
      </c>
      <c r="J33">
        <v>2</v>
      </c>
      <c r="K33">
        <v>0</v>
      </c>
      <c r="L33" t="s">
        <v>31</v>
      </c>
      <c r="M33" t="s">
        <v>17</v>
      </c>
      <c r="N33">
        <v>7000</v>
      </c>
      <c r="O33">
        <v>0</v>
      </c>
      <c r="P33">
        <v>7000</v>
      </c>
      <c r="Q33">
        <v>7000</v>
      </c>
      <c r="R33" t="s">
        <v>262</v>
      </c>
      <c r="S33">
        <v>0</v>
      </c>
    </row>
    <row r="34" spans="1:21" x14ac:dyDescent="0.3">
      <c r="A34" t="s">
        <v>131</v>
      </c>
      <c r="B34" s="1">
        <v>45818</v>
      </c>
      <c r="C34" t="s">
        <v>237</v>
      </c>
      <c r="D34" t="s">
        <v>132</v>
      </c>
      <c r="E34" t="s">
        <v>133</v>
      </c>
      <c r="F34" t="s">
        <v>47</v>
      </c>
      <c r="G34" t="s">
        <v>29</v>
      </c>
      <c r="H34" t="s">
        <v>58</v>
      </c>
      <c r="I34">
        <v>7600</v>
      </c>
      <c r="J34">
        <v>1</v>
      </c>
      <c r="K34">
        <v>0</v>
      </c>
      <c r="L34" t="s">
        <v>23</v>
      </c>
      <c r="M34" t="s">
        <v>17</v>
      </c>
      <c r="N34">
        <v>7600</v>
      </c>
      <c r="O34">
        <v>0</v>
      </c>
      <c r="P34">
        <v>7600</v>
      </c>
      <c r="Q34">
        <v>7600</v>
      </c>
      <c r="R34" t="s">
        <v>262</v>
      </c>
      <c r="S34">
        <v>0</v>
      </c>
    </row>
    <row r="35" spans="1:21" x14ac:dyDescent="0.3">
      <c r="A35" t="s">
        <v>146</v>
      </c>
      <c r="B35" s="1">
        <v>45788</v>
      </c>
      <c r="C35" t="s">
        <v>227</v>
      </c>
      <c r="D35" t="s">
        <v>147</v>
      </c>
      <c r="E35" t="s">
        <v>148</v>
      </c>
      <c r="F35" t="s">
        <v>28</v>
      </c>
      <c r="G35" t="s">
        <v>29</v>
      </c>
      <c r="H35" t="s">
        <v>29</v>
      </c>
      <c r="I35">
        <v>2900</v>
      </c>
      <c r="J35">
        <v>2</v>
      </c>
      <c r="K35">
        <v>0.05</v>
      </c>
      <c r="L35" t="s">
        <v>31</v>
      </c>
      <c r="M35" t="s">
        <v>32</v>
      </c>
      <c r="N35">
        <v>5800</v>
      </c>
      <c r="O35">
        <v>290</v>
      </c>
      <c r="P35">
        <v>5510</v>
      </c>
      <c r="Q35">
        <v>0</v>
      </c>
      <c r="R35" t="s">
        <v>262</v>
      </c>
      <c r="S35">
        <v>0</v>
      </c>
    </row>
    <row r="36" spans="1:21" x14ac:dyDescent="0.3">
      <c r="A36" t="s">
        <v>161</v>
      </c>
      <c r="B36" s="1">
        <v>45755</v>
      </c>
      <c r="C36" t="s">
        <v>238</v>
      </c>
      <c r="D36" t="s">
        <v>162</v>
      </c>
      <c r="E36" t="s">
        <v>13</v>
      </c>
      <c r="F36" t="s">
        <v>14</v>
      </c>
      <c r="G36" t="s">
        <v>29</v>
      </c>
      <c r="H36" t="s">
        <v>29</v>
      </c>
      <c r="I36">
        <v>8900</v>
      </c>
      <c r="J36">
        <v>1</v>
      </c>
      <c r="K36">
        <v>0.1</v>
      </c>
      <c r="L36" t="s">
        <v>38</v>
      </c>
      <c r="M36" t="s">
        <v>17</v>
      </c>
      <c r="N36">
        <v>8900</v>
      </c>
      <c r="O36">
        <v>890</v>
      </c>
      <c r="P36">
        <v>8010</v>
      </c>
      <c r="Q36">
        <v>8010</v>
      </c>
      <c r="R36" t="s">
        <v>262</v>
      </c>
      <c r="S36">
        <v>8010</v>
      </c>
    </row>
    <row r="37" spans="1:21" x14ac:dyDescent="0.3">
      <c r="A37" t="s">
        <v>24</v>
      </c>
      <c r="B37" s="1">
        <v>45716</v>
      </c>
      <c r="C37" t="s">
        <v>208</v>
      </c>
      <c r="D37" t="s">
        <v>26</v>
      </c>
      <c r="E37" t="s">
        <v>27</v>
      </c>
      <c r="F37" t="s">
        <v>28</v>
      </c>
      <c r="G37" t="s">
        <v>29</v>
      </c>
      <c r="H37" t="s">
        <v>29</v>
      </c>
      <c r="I37">
        <v>1850</v>
      </c>
      <c r="J37">
        <v>1</v>
      </c>
      <c r="K37">
        <v>0</v>
      </c>
      <c r="L37" t="s">
        <v>31</v>
      </c>
      <c r="M37" t="s">
        <v>32</v>
      </c>
      <c r="N37">
        <v>1850</v>
      </c>
      <c r="O37">
        <v>0</v>
      </c>
      <c r="P37">
        <v>1850</v>
      </c>
      <c r="Q37">
        <v>0</v>
      </c>
      <c r="R37" t="s">
        <v>262</v>
      </c>
      <c r="S37">
        <v>0</v>
      </c>
    </row>
    <row r="38" spans="1:21" x14ac:dyDescent="0.3">
      <c r="A38" t="s">
        <v>114</v>
      </c>
      <c r="B38" s="1">
        <v>45689</v>
      </c>
      <c r="C38" t="s">
        <v>246</v>
      </c>
      <c r="D38" t="s">
        <v>116</v>
      </c>
      <c r="E38" t="s">
        <v>117</v>
      </c>
      <c r="F38" t="s">
        <v>36</v>
      </c>
      <c r="G38" t="s">
        <v>29</v>
      </c>
      <c r="H38" t="s">
        <v>29</v>
      </c>
      <c r="I38">
        <v>4800</v>
      </c>
      <c r="J38">
        <v>1</v>
      </c>
      <c r="K38">
        <v>0</v>
      </c>
      <c r="L38" t="s">
        <v>31</v>
      </c>
      <c r="M38" t="s">
        <v>17</v>
      </c>
      <c r="N38">
        <v>4800</v>
      </c>
      <c r="O38">
        <v>0</v>
      </c>
      <c r="P38">
        <v>4800</v>
      </c>
      <c r="Q38">
        <v>4800</v>
      </c>
      <c r="R38" t="s">
        <v>262</v>
      </c>
      <c r="S38">
        <v>0</v>
      </c>
    </row>
    <row r="39" spans="1:21" x14ac:dyDescent="0.3">
      <c r="A39" t="s">
        <v>175</v>
      </c>
      <c r="B39" s="1">
        <v>45662</v>
      </c>
      <c r="C39" t="s">
        <v>221</v>
      </c>
      <c r="D39" t="s">
        <v>177</v>
      </c>
      <c r="E39" t="s">
        <v>178</v>
      </c>
      <c r="F39" t="s">
        <v>36</v>
      </c>
      <c r="G39" t="s">
        <v>29</v>
      </c>
      <c r="H39" t="s">
        <v>29</v>
      </c>
      <c r="I39">
        <v>5100</v>
      </c>
      <c r="J39">
        <v>1</v>
      </c>
      <c r="K39">
        <v>0</v>
      </c>
      <c r="L39" t="s">
        <v>31</v>
      </c>
      <c r="M39" t="s">
        <v>17</v>
      </c>
      <c r="N39">
        <v>5100</v>
      </c>
      <c r="O39">
        <v>0</v>
      </c>
      <c r="P39">
        <v>5100</v>
      </c>
      <c r="Q39">
        <v>5100</v>
      </c>
      <c r="R39" t="s">
        <v>262</v>
      </c>
      <c r="S39">
        <v>0</v>
      </c>
    </row>
    <row r="40" spans="1:21" x14ac:dyDescent="0.3">
      <c r="A40" t="s">
        <v>11</v>
      </c>
      <c r="B40" s="1">
        <v>45874</v>
      </c>
      <c r="C40" t="s">
        <v>231</v>
      </c>
      <c r="D40" t="s">
        <v>12</v>
      </c>
      <c r="E40" t="s">
        <v>13</v>
      </c>
      <c r="F40" t="s">
        <v>14</v>
      </c>
      <c r="G40" t="s">
        <v>260</v>
      </c>
      <c r="H40" t="s">
        <v>15</v>
      </c>
      <c r="I40">
        <v>14999</v>
      </c>
      <c r="J40">
        <v>1</v>
      </c>
      <c r="K40">
        <v>0.1</v>
      </c>
      <c r="L40" t="s">
        <v>16</v>
      </c>
      <c r="M40" t="s">
        <v>17</v>
      </c>
      <c r="N40">
        <v>14999</v>
      </c>
      <c r="O40">
        <v>1499.9</v>
      </c>
      <c r="P40">
        <v>13499.1</v>
      </c>
      <c r="Q40">
        <v>13499.1</v>
      </c>
      <c r="R40" t="s">
        <v>261</v>
      </c>
      <c r="S40">
        <v>0</v>
      </c>
      <c r="T40">
        <v>1</v>
      </c>
      <c r="U40" t="s">
        <v>213</v>
      </c>
    </row>
    <row r="41" spans="1:21" x14ac:dyDescent="0.3">
      <c r="A41" t="s">
        <v>44</v>
      </c>
      <c r="B41" s="1">
        <v>45782</v>
      </c>
      <c r="C41" t="s">
        <v>210</v>
      </c>
      <c r="D41" t="s">
        <v>45</v>
      </c>
      <c r="E41" t="s">
        <v>46</v>
      </c>
      <c r="F41" t="s">
        <v>47</v>
      </c>
      <c r="G41" t="s">
        <v>260</v>
      </c>
      <c r="H41" t="s">
        <v>48</v>
      </c>
      <c r="I41">
        <v>18999</v>
      </c>
      <c r="J41">
        <v>1</v>
      </c>
      <c r="K41">
        <v>0.08</v>
      </c>
      <c r="L41" t="s">
        <v>16</v>
      </c>
      <c r="M41" t="s">
        <v>17</v>
      </c>
      <c r="N41">
        <v>18999</v>
      </c>
      <c r="O41">
        <v>1519.92</v>
      </c>
      <c r="P41">
        <v>17479.080000000002</v>
      </c>
      <c r="Q41">
        <v>17479.080000000002</v>
      </c>
      <c r="R41" t="s">
        <v>261</v>
      </c>
      <c r="S41">
        <v>0</v>
      </c>
    </row>
    <row r="42" spans="1:21" x14ac:dyDescent="0.3">
      <c r="A42" t="s">
        <v>92</v>
      </c>
      <c r="B42" s="1">
        <v>45880</v>
      </c>
      <c r="C42" t="s">
        <v>240</v>
      </c>
      <c r="D42" t="s">
        <v>93</v>
      </c>
      <c r="E42" t="s">
        <v>94</v>
      </c>
      <c r="F42" t="s">
        <v>28</v>
      </c>
      <c r="G42" t="s">
        <v>260</v>
      </c>
      <c r="H42" t="s">
        <v>48</v>
      </c>
      <c r="I42">
        <v>21999</v>
      </c>
      <c r="J42">
        <v>1</v>
      </c>
      <c r="K42">
        <v>0.1</v>
      </c>
      <c r="L42" t="s">
        <v>54</v>
      </c>
      <c r="M42" t="s">
        <v>43</v>
      </c>
      <c r="N42">
        <v>21999</v>
      </c>
      <c r="O42">
        <v>2199.9</v>
      </c>
      <c r="P42">
        <v>19799.099999999999</v>
      </c>
      <c r="Q42">
        <v>0</v>
      </c>
      <c r="R42" t="s">
        <v>261</v>
      </c>
      <c r="S42">
        <v>0</v>
      </c>
    </row>
    <row r="43" spans="1:21" x14ac:dyDescent="0.3">
      <c r="A43" t="s">
        <v>111</v>
      </c>
      <c r="B43" s="1">
        <v>45846</v>
      </c>
      <c r="C43" t="s">
        <v>216</v>
      </c>
      <c r="D43" t="s">
        <v>112</v>
      </c>
      <c r="E43" t="s">
        <v>113</v>
      </c>
      <c r="F43" t="s">
        <v>14</v>
      </c>
      <c r="G43" t="s">
        <v>260</v>
      </c>
      <c r="H43" t="s">
        <v>15</v>
      </c>
      <c r="I43">
        <v>11499</v>
      </c>
      <c r="J43">
        <v>1</v>
      </c>
      <c r="K43">
        <v>0.1</v>
      </c>
      <c r="L43" t="s">
        <v>54</v>
      </c>
      <c r="M43" t="s">
        <v>17</v>
      </c>
      <c r="N43">
        <v>11499</v>
      </c>
      <c r="O43">
        <v>1149.9000000000001</v>
      </c>
      <c r="P43">
        <v>10349.1</v>
      </c>
      <c r="Q43">
        <v>10349.1</v>
      </c>
      <c r="R43" t="s">
        <v>261</v>
      </c>
      <c r="S43">
        <v>10349.1</v>
      </c>
    </row>
    <row r="44" spans="1:21" x14ac:dyDescent="0.3">
      <c r="A44" t="s">
        <v>144</v>
      </c>
      <c r="B44" s="1">
        <v>45795</v>
      </c>
      <c r="C44" t="s">
        <v>239</v>
      </c>
      <c r="D44" t="s">
        <v>145</v>
      </c>
      <c r="E44" t="s">
        <v>35</v>
      </c>
      <c r="F44" t="s">
        <v>36</v>
      </c>
      <c r="G44" t="s">
        <v>260</v>
      </c>
      <c r="H44" t="s">
        <v>15</v>
      </c>
      <c r="I44">
        <v>34999</v>
      </c>
      <c r="J44">
        <v>1</v>
      </c>
      <c r="K44">
        <v>0.12</v>
      </c>
      <c r="L44" t="s">
        <v>38</v>
      </c>
      <c r="M44" t="s">
        <v>17</v>
      </c>
      <c r="N44">
        <v>34999</v>
      </c>
      <c r="O44">
        <v>4199.88</v>
      </c>
      <c r="P44">
        <v>30799.119999999999</v>
      </c>
      <c r="Q44">
        <v>30799.119999999999</v>
      </c>
      <c r="R44" t="s">
        <v>261</v>
      </c>
      <c r="S44">
        <v>0</v>
      </c>
    </row>
    <row r="45" spans="1:21" x14ac:dyDescent="0.3">
      <c r="A45" t="s">
        <v>158</v>
      </c>
      <c r="B45" s="1">
        <v>45766</v>
      </c>
      <c r="C45" t="s">
        <v>248</v>
      </c>
      <c r="D45" t="s">
        <v>159</v>
      </c>
      <c r="E45" t="s">
        <v>66</v>
      </c>
      <c r="F45" t="s">
        <v>14</v>
      </c>
      <c r="G45" t="s">
        <v>260</v>
      </c>
      <c r="H45" t="s">
        <v>48</v>
      </c>
      <c r="I45">
        <v>29900</v>
      </c>
      <c r="J45">
        <v>1</v>
      </c>
      <c r="K45">
        <v>0.08</v>
      </c>
      <c r="L45" t="s">
        <v>54</v>
      </c>
      <c r="M45" t="s">
        <v>43</v>
      </c>
      <c r="N45">
        <v>29900</v>
      </c>
      <c r="O45">
        <v>2392</v>
      </c>
      <c r="P45">
        <v>27508</v>
      </c>
      <c r="Q45">
        <v>0</v>
      </c>
      <c r="R45" t="s">
        <v>261</v>
      </c>
      <c r="S45">
        <v>0</v>
      </c>
    </row>
    <row r="46" spans="1:21" x14ac:dyDescent="0.3">
      <c r="A46" t="s">
        <v>172</v>
      </c>
      <c r="B46" s="1">
        <v>45733</v>
      </c>
      <c r="C46" t="s">
        <v>212</v>
      </c>
      <c r="D46" t="s">
        <v>173</v>
      </c>
      <c r="E46" t="s">
        <v>174</v>
      </c>
      <c r="F46" t="s">
        <v>14</v>
      </c>
      <c r="G46" t="s">
        <v>260</v>
      </c>
      <c r="H46" t="s">
        <v>15</v>
      </c>
      <c r="I46">
        <v>16499</v>
      </c>
      <c r="J46">
        <v>1</v>
      </c>
      <c r="K46">
        <v>0.1</v>
      </c>
      <c r="L46" t="s">
        <v>54</v>
      </c>
      <c r="M46" t="s">
        <v>32</v>
      </c>
      <c r="N46">
        <v>16499</v>
      </c>
      <c r="O46">
        <v>1649.9</v>
      </c>
      <c r="P46">
        <v>14849.1</v>
      </c>
      <c r="Q46">
        <v>0</v>
      </c>
      <c r="R46" t="s">
        <v>261</v>
      </c>
      <c r="S46">
        <v>0</v>
      </c>
    </row>
    <row r="47" spans="1:21" x14ac:dyDescent="0.3">
      <c r="A47" t="s">
        <v>69</v>
      </c>
      <c r="B47" s="1">
        <v>45706</v>
      </c>
      <c r="C47" t="s">
        <v>206</v>
      </c>
      <c r="D47" t="s">
        <v>71</v>
      </c>
      <c r="E47" t="s">
        <v>72</v>
      </c>
      <c r="F47" t="s">
        <v>28</v>
      </c>
      <c r="G47" t="s">
        <v>260</v>
      </c>
      <c r="H47" t="s">
        <v>15</v>
      </c>
      <c r="I47">
        <v>12499</v>
      </c>
      <c r="J47">
        <v>2</v>
      </c>
      <c r="K47">
        <v>0.05</v>
      </c>
      <c r="L47" t="s">
        <v>16</v>
      </c>
      <c r="M47" t="s">
        <v>43</v>
      </c>
      <c r="N47">
        <v>24998</v>
      </c>
      <c r="O47">
        <v>1249.9000000000001</v>
      </c>
      <c r="P47">
        <v>23748.1</v>
      </c>
      <c r="Q47">
        <v>0</v>
      </c>
      <c r="R47" t="s">
        <v>261</v>
      </c>
      <c r="S47">
        <v>0</v>
      </c>
    </row>
    <row r="48" spans="1:21" x14ac:dyDescent="0.3">
      <c r="A48" t="s">
        <v>127</v>
      </c>
      <c r="B48" s="1">
        <v>45679</v>
      </c>
      <c r="C48" t="s">
        <v>232</v>
      </c>
      <c r="D48" t="s">
        <v>129</v>
      </c>
      <c r="E48" t="s">
        <v>130</v>
      </c>
      <c r="F48" t="s">
        <v>36</v>
      </c>
      <c r="G48" t="s">
        <v>260</v>
      </c>
      <c r="H48" t="s">
        <v>48</v>
      </c>
      <c r="I48">
        <v>15999</v>
      </c>
      <c r="J48">
        <v>1</v>
      </c>
      <c r="K48">
        <v>0.05</v>
      </c>
      <c r="L48" t="s">
        <v>31</v>
      </c>
      <c r="M48" t="s">
        <v>32</v>
      </c>
      <c r="N48">
        <v>15999</v>
      </c>
      <c r="O48">
        <v>799.95</v>
      </c>
      <c r="P48">
        <v>15199.05</v>
      </c>
      <c r="Q48">
        <v>0</v>
      </c>
      <c r="R48" t="s">
        <v>262</v>
      </c>
      <c r="S48">
        <v>0</v>
      </c>
    </row>
    <row r="49" spans="3:19" x14ac:dyDescent="0.3">
      <c r="C49" t="s">
        <v>259</v>
      </c>
      <c r="S49">
        <v>147846.20000000001</v>
      </c>
    </row>
    <row r="50" spans="3:19" x14ac:dyDescent="0.3">
      <c r="C50" t="s">
        <v>259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6A0B6-4AC4-43EF-BD1C-DBAEC60337E3}">
  <dimension ref="A3:N13"/>
  <sheetViews>
    <sheetView topLeftCell="F1" workbookViewId="0">
      <selection activeCell="G11" sqref="G11"/>
    </sheetView>
  </sheetViews>
  <sheetFormatPr defaultRowHeight="14.4" x14ac:dyDescent="0.3"/>
  <cols>
    <col min="1" max="1" width="16.44140625" bestFit="1" customWidth="1"/>
    <col min="2" max="2" width="19.5546875" bestFit="1" customWidth="1"/>
    <col min="3" max="3" width="14.88671875" bestFit="1" customWidth="1"/>
    <col min="4" max="4" width="23.77734375" bestFit="1" customWidth="1"/>
    <col min="6" max="6" width="19.33203125" bestFit="1" customWidth="1"/>
    <col min="7" max="7" width="19.5546875" bestFit="1" customWidth="1"/>
    <col min="9" max="9" width="12.5546875" bestFit="1" customWidth="1"/>
    <col min="10" max="10" width="16.44140625" bestFit="1" customWidth="1"/>
    <col min="11" max="11" width="19.5546875" bestFit="1" customWidth="1"/>
    <col min="13" max="13" width="13.33203125" bestFit="1" customWidth="1"/>
    <col min="14" max="14" width="19.5546875" bestFit="1" customWidth="1"/>
  </cols>
  <sheetData>
    <row r="3" spans="1:14" x14ac:dyDescent="0.3">
      <c r="A3" t="s">
        <v>201</v>
      </c>
      <c r="B3" t="s">
        <v>200</v>
      </c>
      <c r="C3" t="s">
        <v>202</v>
      </c>
      <c r="D3" t="s">
        <v>203</v>
      </c>
      <c r="F3" s="15" t="s">
        <v>204</v>
      </c>
      <c r="G3" t="s">
        <v>200</v>
      </c>
      <c r="I3" s="15" t="s">
        <v>204</v>
      </c>
      <c r="J3" t="s">
        <v>201</v>
      </c>
      <c r="K3" t="s">
        <v>200</v>
      </c>
      <c r="M3" s="15" t="s">
        <v>204</v>
      </c>
      <c r="N3" t="s">
        <v>200</v>
      </c>
    </row>
    <row r="4" spans="1:14" x14ac:dyDescent="0.3">
      <c r="A4">
        <v>44</v>
      </c>
      <c r="B4" s="17">
        <v>512034.58</v>
      </c>
      <c r="C4">
        <v>71</v>
      </c>
      <c r="D4" s="17">
        <v>11637.149545454546</v>
      </c>
      <c r="F4" s="3" t="s">
        <v>88</v>
      </c>
      <c r="G4" s="17">
        <v>352108.08</v>
      </c>
      <c r="I4" s="3" t="s">
        <v>43</v>
      </c>
      <c r="J4">
        <v>5</v>
      </c>
      <c r="K4">
        <v>0</v>
      </c>
      <c r="M4" s="3" t="s">
        <v>250</v>
      </c>
    </row>
    <row r="5" spans="1:14" x14ac:dyDescent="0.3">
      <c r="F5" s="3" t="s">
        <v>260</v>
      </c>
      <c r="G5" s="17">
        <v>72126.399999999994</v>
      </c>
      <c r="I5" s="3" t="s">
        <v>17</v>
      </c>
      <c r="J5">
        <v>32</v>
      </c>
      <c r="K5">
        <v>512034.58</v>
      </c>
      <c r="M5" s="3" t="s">
        <v>251</v>
      </c>
      <c r="N5">
        <v>38444.1</v>
      </c>
    </row>
    <row r="6" spans="1:14" x14ac:dyDescent="0.3">
      <c r="F6" s="3" t="s">
        <v>29</v>
      </c>
      <c r="G6" s="17">
        <v>38090</v>
      </c>
      <c r="I6" s="3" t="s">
        <v>32</v>
      </c>
      <c r="J6">
        <v>7</v>
      </c>
      <c r="K6">
        <v>0</v>
      </c>
      <c r="M6" s="3" t="s">
        <v>252</v>
      </c>
      <c r="N6">
        <v>54224.18</v>
      </c>
    </row>
    <row r="7" spans="1:14" x14ac:dyDescent="0.3">
      <c r="F7" s="3" t="s">
        <v>53</v>
      </c>
      <c r="G7" s="17">
        <v>37198.1</v>
      </c>
      <c r="I7" s="3" t="s">
        <v>194</v>
      </c>
      <c r="M7" s="3" t="s">
        <v>253</v>
      </c>
      <c r="N7">
        <v>72229.149999999994</v>
      </c>
    </row>
    <row r="8" spans="1:14" x14ac:dyDescent="0.3">
      <c r="F8" s="3" t="s">
        <v>63</v>
      </c>
      <c r="G8" s="17">
        <v>12512</v>
      </c>
      <c r="I8" s="3" t="s">
        <v>195</v>
      </c>
      <c r="J8">
        <v>44</v>
      </c>
      <c r="K8">
        <v>512034.58</v>
      </c>
      <c r="M8" s="3" t="s">
        <v>254</v>
      </c>
      <c r="N8">
        <v>82480</v>
      </c>
    </row>
    <row r="9" spans="1:14" x14ac:dyDescent="0.3">
      <c r="F9" s="3" t="s">
        <v>194</v>
      </c>
      <c r="G9" s="17"/>
      <c r="M9" s="3" t="s">
        <v>255</v>
      </c>
      <c r="N9">
        <v>89927.35</v>
      </c>
    </row>
    <row r="10" spans="1:14" x14ac:dyDescent="0.3">
      <c r="F10" s="3" t="s">
        <v>195</v>
      </c>
      <c r="G10" s="17">
        <v>512034.57999999996</v>
      </c>
      <c r="M10" s="3" t="s">
        <v>256</v>
      </c>
      <c r="N10">
        <v>85583.5</v>
      </c>
    </row>
    <row r="11" spans="1:14" x14ac:dyDescent="0.3">
      <c r="M11" s="3" t="s">
        <v>257</v>
      </c>
      <c r="N11">
        <v>77347.200000000012</v>
      </c>
    </row>
    <row r="12" spans="1:14" x14ac:dyDescent="0.3">
      <c r="M12" s="3" t="s">
        <v>258</v>
      </c>
      <c r="N12">
        <v>16254.1</v>
      </c>
    </row>
    <row r="13" spans="1:14" x14ac:dyDescent="0.3">
      <c r="M13" s="3" t="s">
        <v>195</v>
      </c>
      <c r="N13">
        <v>516489.58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E1E1C-70A4-4FB5-A54F-3E3B7D84612B}">
  <dimension ref="A1:W48"/>
  <sheetViews>
    <sheetView workbookViewId="0">
      <selection sqref="A1:W48"/>
    </sheetView>
  </sheetViews>
  <sheetFormatPr defaultRowHeight="14.4" x14ac:dyDescent="0.3"/>
  <cols>
    <col min="1" max="1" width="11.44140625" customWidth="1"/>
    <col min="2" max="2" width="13.88671875" customWidth="1"/>
    <col min="3" max="3" width="16.77734375" customWidth="1"/>
    <col min="4" max="4" width="18.44140625" customWidth="1"/>
    <col min="6" max="6" width="11.44140625" customWidth="1"/>
    <col min="7" max="7" width="15" customWidth="1"/>
    <col min="8" max="8" width="19.5546875" customWidth="1"/>
    <col min="9" max="9" width="12.5546875" customWidth="1"/>
    <col min="10" max="10" width="11.109375" customWidth="1"/>
    <col min="11" max="11" width="15.109375" customWidth="1"/>
    <col min="12" max="12" width="19.6640625" customWidth="1"/>
    <col min="13" max="13" width="15.21875" customWidth="1"/>
    <col min="14" max="14" width="16.77734375" customWidth="1"/>
    <col min="15" max="15" width="19.77734375" customWidth="1"/>
    <col min="16" max="16" width="14" customWidth="1"/>
    <col min="17" max="17" width="16" customWidth="1"/>
    <col min="18" max="18" width="13.109375" customWidth="1"/>
    <col min="19" max="19" width="9.21875" customWidth="1"/>
    <col min="20" max="23" width="11.21875" customWidth="1"/>
  </cols>
  <sheetData>
    <row r="1" spans="1:23" ht="15.6" x14ac:dyDescent="0.3">
      <c r="A1" s="9" t="s">
        <v>0</v>
      </c>
      <c r="B1" s="10" t="s">
        <v>1</v>
      </c>
      <c r="C1" s="11" t="s">
        <v>185</v>
      </c>
      <c r="D1" s="9" t="s">
        <v>2</v>
      </c>
      <c r="E1" s="9" t="s">
        <v>3</v>
      </c>
      <c r="F1" s="9" t="s">
        <v>186</v>
      </c>
      <c r="G1" s="9" t="s">
        <v>187</v>
      </c>
      <c r="H1" s="12" t="s">
        <v>5</v>
      </c>
      <c r="I1" s="13" t="s">
        <v>6</v>
      </c>
      <c r="J1" s="9" t="s">
        <v>7</v>
      </c>
      <c r="K1" s="9" t="s">
        <v>8</v>
      </c>
      <c r="L1" s="9" t="s">
        <v>9</v>
      </c>
      <c r="M1" s="9" t="s">
        <v>10</v>
      </c>
      <c r="N1" s="9" t="s">
        <v>188</v>
      </c>
      <c r="O1" s="9" t="s">
        <v>189</v>
      </c>
      <c r="P1" s="9" t="s">
        <v>190</v>
      </c>
      <c r="Q1" s="13" t="s">
        <v>191</v>
      </c>
      <c r="R1" s="14" t="s">
        <v>192</v>
      </c>
      <c r="S1" s="16" t="s">
        <v>193</v>
      </c>
      <c r="T1" s="16" t="s">
        <v>196</v>
      </c>
      <c r="U1" s="16" t="s">
        <v>197</v>
      </c>
      <c r="V1" s="16" t="s">
        <v>198</v>
      </c>
      <c r="W1" s="16" t="s">
        <v>199</v>
      </c>
    </row>
    <row r="2" spans="1:23" x14ac:dyDescent="0.3">
      <c r="A2" s="3" t="s">
        <v>11</v>
      </c>
      <c r="B2" s="4">
        <v>45874</v>
      </c>
      <c r="C2" s="5" t="str">
        <f>PROPER(TRIM(D2))</f>
        <v>Rahul Sharma</v>
      </c>
      <c r="D2" s="3" t="s">
        <v>12</v>
      </c>
      <c r="E2" s="3" t="s">
        <v>13</v>
      </c>
      <c r="F2" s="3" t="s">
        <v>14</v>
      </c>
      <c r="G2" s="3" t="str">
        <f>PROPER(TRIM(H2))</f>
        <v>Mobiles &amp; Accessories</v>
      </c>
      <c r="H2" s="6" t="s">
        <v>15</v>
      </c>
      <c r="I2" s="7">
        <v>14999</v>
      </c>
      <c r="J2" s="3">
        <v>1</v>
      </c>
      <c r="K2" s="3">
        <v>0.1</v>
      </c>
      <c r="L2" s="3" t="s">
        <v>16</v>
      </c>
      <c r="M2" s="3" t="str">
        <f>TRIM(M3)</f>
        <v>Delivered</v>
      </c>
      <c r="N2" s="7">
        <f>I2*J2</f>
        <v>14999</v>
      </c>
      <c r="O2" s="7">
        <f>N2*K2</f>
        <v>1499.9</v>
      </c>
      <c r="P2" s="7">
        <f>N2-O2</f>
        <v>13499.1</v>
      </c>
      <c r="Q2" s="7">
        <f t="shared" ref="Q2:Q45" si="0">IF(M2="Delivered",P2,0)</f>
        <v>13499.1</v>
      </c>
      <c r="R2" s="3" t="str">
        <f>IF(O2 &gt; 1000, "High Value", "Standard")</f>
        <v>High Value</v>
      </c>
      <c r="S2" s="3">
        <f>SUMIFS(S7,F2,"West",M2,"Delivered")</f>
        <v>0</v>
      </c>
      <c r="T2" s="3">
        <f>COUNTIFS(F2:F46, "East", M2:M46, "Returned")</f>
        <v>1</v>
      </c>
      <c r="U2" s="3" t="str">
        <f>_xlfn.XLOOKUP(A24, A2:A46, C2:C46, "Order Not Found")</f>
        <v>Deepak Chawla</v>
      </c>
      <c r="V2" s="3"/>
      <c r="W2" s="3"/>
    </row>
    <row r="3" spans="1:23" x14ac:dyDescent="0.3">
      <c r="A3" s="3" t="s">
        <v>18</v>
      </c>
      <c r="B3" s="4">
        <v>45852</v>
      </c>
      <c r="C3" s="5" t="str">
        <f t="shared" ref="C3:C48" si="1">PROPER(TRIM(D3))</f>
        <v>Priya Patel</v>
      </c>
      <c r="D3" s="3" t="s">
        <v>19</v>
      </c>
      <c r="E3" s="3" t="s">
        <v>20</v>
      </c>
      <c r="F3" s="3" t="s">
        <v>14</v>
      </c>
      <c r="G3" s="3" t="str">
        <f t="shared" ref="G3:G46" si="2">PROPER(TRIM(H3))</f>
        <v>Fashion &amp; Ethnic</v>
      </c>
      <c r="H3" s="6" t="s">
        <v>21</v>
      </c>
      <c r="I3" s="7">
        <v>2499</v>
      </c>
      <c r="J3" s="3">
        <v>2</v>
      </c>
      <c r="K3" s="3">
        <v>0.05</v>
      </c>
      <c r="L3" s="3" t="s">
        <v>23</v>
      </c>
      <c r="M3" s="3" t="s">
        <v>17</v>
      </c>
      <c r="N3" s="7">
        <f t="shared" ref="N3:N46" si="3">I3*J3</f>
        <v>4998</v>
      </c>
      <c r="O3" s="7">
        <f t="shared" ref="O3:O46" si="4">N3*K3</f>
        <v>249.9</v>
      </c>
      <c r="P3" s="7">
        <f t="shared" ref="P3:P46" si="5">N3-O3</f>
        <v>4748.1000000000004</v>
      </c>
      <c r="Q3" s="7">
        <f t="shared" si="0"/>
        <v>4748.1000000000004</v>
      </c>
      <c r="R3" s="3" t="str">
        <f t="shared" ref="R3:R46" si="6">IF(O3 &gt; 1000, "High Value", "Standard")</f>
        <v>Standard</v>
      </c>
      <c r="S3" s="3">
        <f t="shared" ref="S3" si="7">SUMIFS(Q3,F3,"West",M3,"Delivered")</f>
        <v>4748.1000000000004</v>
      </c>
      <c r="T3" s="3"/>
      <c r="U3" s="3">
        <f>_xlfn.XLOOKUP(A2, A2:A46, N2:N46, 0)</f>
        <v>14999</v>
      </c>
      <c r="V3" s="3"/>
      <c r="W3" s="3"/>
    </row>
    <row r="4" spans="1:23" x14ac:dyDescent="0.3">
      <c r="A4" s="3" t="s">
        <v>33</v>
      </c>
      <c r="B4" s="4">
        <v>45829</v>
      </c>
      <c r="C4" s="5" t="str">
        <f t="shared" si="1"/>
        <v>Sneha Reddy</v>
      </c>
      <c r="D4" s="3" t="s">
        <v>34</v>
      </c>
      <c r="E4" s="3" t="s">
        <v>35</v>
      </c>
      <c r="F4" s="3" t="s">
        <v>36</v>
      </c>
      <c r="G4" s="3" t="str">
        <f t="shared" si="2"/>
        <v>Electronics</v>
      </c>
      <c r="H4" s="6" t="s">
        <v>37</v>
      </c>
      <c r="I4" s="7">
        <v>54990</v>
      </c>
      <c r="J4" s="3">
        <v>1</v>
      </c>
      <c r="K4" s="3">
        <v>0.15</v>
      </c>
      <c r="L4" s="3" t="s">
        <v>38</v>
      </c>
      <c r="M4" s="3" t="s">
        <v>17</v>
      </c>
      <c r="N4" s="7">
        <f t="shared" si="3"/>
        <v>54990</v>
      </c>
      <c r="O4" s="7">
        <f t="shared" si="4"/>
        <v>8248.5</v>
      </c>
      <c r="P4" s="7">
        <f t="shared" si="5"/>
        <v>46741.5</v>
      </c>
      <c r="Q4" s="7">
        <f t="shared" si="0"/>
        <v>46741.5</v>
      </c>
      <c r="R4" s="3" t="str">
        <f t="shared" si="6"/>
        <v>High Value</v>
      </c>
      <c r="S4" s="3">
        <f>SUMIFS(I2,F2,"West",M2,"Delivered")</f>
        <v>14999</v>
      </c>
      <c r="T4" s="3"/>
      <c r="U4" s="3" t="e" cm="1" vm="1">
        <f t="array" aca="1" ref="U4" ca="1">_xlfn.XLOOKUP(A3, A2:A46, C2:E46, "Order Not Found")</f>
        <v>#VALUE!</v>
      </c>
      <c r="V4" s="3"/>
      <c r="W4" s="3"/>
    </row>
    <row r="5" spans="1:23" x14ac:dyDescent="0.3">
      <c r="A5" s="3" t="s">
        <v>39</v>
      </c>
      <c r="B5" s="4">
        <v>45807</v>
      </c>
      <c r="C5" s="5" t="str">
        <f t="shared" si="1"/>
        <v>Vikram Singh</v>
      </c>
      <c r="D5" s="3" t="s">
        <v>40</v>
      </c>
      <c r="E5" s="3" t="s">
        <v>41</v>
      </c>
      <c r="F5" s="3" t="s">
        <v>28</v>
      </c>
      <c r="G5" s="3" t="str">
        <f t="shared" si="2"/>
        <v>Beauty &amp; Grooming</v>
      </c>
      <c r="H5" s="6" t="s">
        <v>42</v>
      </c>
      <c r="I5" s="7">
        <v>450</v>
      </c>
      <c r="J5" s="3">
        <v>3</v>
      </c>
      <c r="K5" s="3">
        <v>0</v>
      </c>
      <c r="L5" s="3" t="s">
        <v>16</v>
      </c>
      <c r="M5" s="3" t="s">
        <v>43</v>
      </c>
      <c r="N5" s="7">
        <f t="shared" si="3"/>
        <v>1350</v>
      </c>
      <c r="O5" s="7">
        <f t="shared" si="4"/>
        <v>0</v>
      </c>
      <c r="P5" s="7">
        <f t="shared" si="5"/>
        <v>1350</v>
      </c>
      <c r="Q5" s="7">
        <f t="shared" si="0"/>
        <v>0</v>
      </c>
      <c r="R5" s="3" t="str">
        <f t="shared" si="6"/>
        <v>Standard</v>
      </c>
      <c r="S5" s="3">
        <f t="shared" ref="S5:S45" si="8">SUMIFS(Q5,F5,"West",M5,"Delivered")</f>
        <v>0</v>
      </c>
      <c r="T5" s="3"/>
      <c r="U5" s="3"/>
      <c r="V5" s="3"/>
      <c r="W5" s="3"/>
    </row>
    <row r="6" spans="1:23" x14ac:dyDescent="0.3">
      <c r="A6" s="3" t="s">
        <v>44</v>
      </c>
      <c r="B6" s="4">
        <v>45782</v>
      </c>
      <c r="C6" s="5" t="str">
        <f t="shared" si="1"/>
        <v>Anita Roy</v>
      </c>
      <c r="D6" s="3" t="s">
        <v>45</v>
      </c>
      <c r="E6" s="3" t="s">
        <v>46</v>
      </c>
      <c r="F6" s="3" t="s">
        <v>47</v>
      </c>
      <c r="G6" s="3" t="str">
        <f t="shared" si="2"/>
        <v>Mobiles &amp; Accessories</v>
      </c>
      <c r="H6" s="6" t="s">
        <v>48</v>
      </c>
      <c r="I6" s="7">
        <v>18999</v>
      </c>
      <c r="J6" s="3">
        <v>1</v>
      </c>
      <c r="K6" s="3">
        <v>0.08</v>
      </c>
      <c r="L6" s="3" t="s">
        <v>16</v>
      </c>
      <c r="M6" s="3" t="s">
        <v>17</v>
      </c>
      <c r="N6" s="7">
        <f t="shared" si="3"/>
        <v>18999</v>
      </c>
      <c r="O6" s="7">
        <f t="shared" si="4"/>
        <v>1519.92</v>
      </c>
      <c r="P6" s="7">
        <f t="shared" si="5"/>
        <v>17479.080000000002</v>
      </c>
      <c r="Q6" s="7">
        <f t="shared" si="0"/>
        <v>17479.080000000002</v>
      </c>
      <c r="R6" s="3" t="str">
        <f t="shared" si="6"/>
        <v>High Value</v>
      </c>
      <c r="S6" s="3">
        <f t="shared" si="8"/>
        <v>0</v>
      </c>
      <c r="T6" s="3"/>
      <c r="U6" s="3"/>
      <c r="V6" s="3"/>
      <c r="W6" s="3"/>
    </row>
    <row r="7" spans="1:23" x14ac:dyDescent="0.3">
      <c r="A7" s="3" t="s">
        <v>55</v>
      </c>
      <c r="B7" s="4">
        <v>45761</v>
      </c>
      <c r="C7" s="5" t="str">
        <f t="shared" si="1"/>
        <v>Kavita Das</v>
      </c>
      <c r="D7" s="3" t="s">
        <v>56</v>
      </c>
      <c r="E7" s="3" t="s">
        <v>57</v>
      </c>
      <c r="F7" s="3" t="s">
        <v>47</v>
      </c>
      <c r="G7" s="3" t="str">
        <f t="shared" si="2"/>
        <v>Home &amp; Kitchen</v>
      </c>
      <c r="H7" s="6" t="s">
        <v>58</v>
      </c>
      <c r="I7" s="7">
        <v>4100</v>
      </c>
      <c r="J7" s="3">
        <v>1</v>
      </c>
      <c r="K7" s="3">
        <v>0.05</v>
      </c>
      <c r="L7" s="3" t="s">
        <v>31</v>
      </c>
      <c r="M7" s="3" t="s">
        <v>32</v>
      </c>
      <c r="N7" s="7">
        <f t="shared" si="3"/>
        <v>4100</v>
      </c>
      <c r="O7" s="7">
        <f t="shared" si="4"/>
        <v>205</v>
      </c>
      <c r="P7" s="7">
        <f t="shared" si="5"/>
        <v>3895</v>
      </c>
      <c r="Q7" s="7">
        <f t="shared" si="0"/>
        <v>0</v>
      </c>
      <c r="R7" s="3" t="str">
        <f t="shared" si="6"/>
        <v>Standard</v>
      </c>
      <c r="S7" s="3">
        <f t="shared" si="8"/>
        <v>0</v>
      </c>
      <c r="T7" s="3"/>
      <c r="U7" s="3"/>
      <c r="V7" s="3"/>
      <c r="W7" s="3"/>
    </row>
    <row r="8" spans="1:23" x14ac:dyDescent="0.3">
      <c r="A8" s="3" t="s">
        <v>60</v>
      </c>
      <c r="B8" s="4">
        <v>45738</v>
      </c>
      <c r="C8" s="5" t="str">
        <f t="shared" si="1"/>
        <v>Devkumar Nair</v>
      </c>
      <c r="D8" s="3" t="s">
        <v>61</v>
      </c>
      <c r="E8" s="3" t="s">
        <v>62</v>
      </c>
      <c r="F8" s="3" t="s">
        <v>36</v>
      </c>
      <c r="G8" s="3" t="str">
        <f t="shared" si="2"/>
        <v>Beauty &amp; Grooming</v>
      </c>
      <c r="H8" s="6" t="s">
        <v>63</v>
      </c>
      <c r="I8" s="7">
        <v>850</v>
      </c>
      <c r="J8" s="3">
        <v>4</v>
      </c>
      <c r="K8" s="3">
        <v>0.1</v>
      </c>
      <c r="L8" s="3" t="s">
        <v>16</v>
      </c>
      <c r="M8" s="3" t="s">
        <v>17</v>
      </c>
      <c r="N8" s="7">
        <f t="shared" si="3"/>
        <v>3400</v>
      </c>
      <c r="O8" s="7">
        <f t="shared" si="4"/>
        <v>340</v>
      </c>
      <c r="P8" s="7">
        <f t="shared" si="5"/>
        <v>3060</v>
      </c>
      <c r="Q8" s="7">
        <f t="shared" si="0"/>
        <v>3060</v>
      </c>
      <c r="R8" s="3" t="str">
        <f t="shared" si="6"/>
        <v>Standard</v>
      </c>
      <c r="S8" s="3">
        <f t="shared" si="8"/>
        <v>0</v>
      </c>
      <c r="T8" s="3"/>
      <c r="U8" s="3"/>
      <c r="V8" s="3"/>
      <c r="W8" s="3"/>
    </row>
    <row r="9" spans="1:23" x14ac:dyDescent="0.3">
      <c r="A9" s="3" t="s">
        <v>64</v>
      </c>
      <c r="B9" s="4">
        <v>45720</v>
      </c>
      <c r="C9" s="5" t="str">
        <f t="shared" si="1"/>
        <v>Pooja Mehta</v>
      </c>
      <c r="D9" s="3" t="s">
        <v>65</v>
      </c>
      <c r="E9" s="3" t="s">
        <v>66</v>
      </c>
      <c r="F9" s="3" t="s">
        <v>14</v>
      </c>
      <c r="G9" s="3" t="str">
        <f t="shared" si="2"/>
        <v>Electronics</v>
      </c>
      <c r="H9" s="6" t="s">
        <v>67</v>
      </c>
      <c r="I9" s="7">
        <v>32000</v>
      </c>
      <c r="J9" s="3">
        <v>1</v>
      </c>
      <c r="K9" s="3">
        <v>0.12</v>
      </c>
      <c r="L9" s="3" t="s">
        <v>23</v>
      </c>
      <c r="M9" s="3" t="s">
        <v>17</v>
      </c>
      <c r="N9" s="7">
        <f t="shared" si="3"/>
        <v>32000</v>
      </c>
      <c r="O9" s="7">
        <f t="shared" si="4"/>
        <v>3840</v>
      </c>
      <c r="P9" s="7">
        <f t="shared" si="5"/>
        <v>28160</v>
      </c>
      <c r="Q9" s="7">
        <f t="shared" si="0"/>
        <v>28160</v>
      </c>
      <c r="R9" s="3" t="str">
        <f t="shared" si="6"/>
        <v>High Value</v>
      </c>
      <c r="S9" s="3">
        <f>SUMIFS(Q9,F9,"West",M9,"Delivered")</f>
        <v>28160</v>
      </c>
      <c r="T9" s="3"/>
      <c r="U9" s="3"/>
      <c r="V9" s="3"/>
      <c r="W9" s="3"/>
    </row>
    <row r="10" spans="1:23" x14ac:dyDescent="0.3">
      <c r="A10" s="3" t="s">
        <v>73</v>
      </c>
      <c r="B10" s="4">
        <v>45702</v>
      </c>
      <c r="C10" s="5" t="str">
        <f t="shared" si="1"/>
        <v>Neha Sharma</v>
      </c>
      <c r="D10" s="3" t="s">
        <v>74</v>
      </c>
      <c r="E10" s="3" t="s">
        <v>75</v>
      </c>
      <c r="F10" s="3" t="s">
        <v>28</v>
      </c>
      <c r="G10" s="3" t="str">
        <f t="shared" si="2"/>
        <v>Fashion &amp; Ethnic</v>
      </c>
      <c r="H10" s="6" t="s">
        <v>53</v>
      </c>
      <c r="I10" s="7">
        <v>1800</v>
      </c>
      <c r="J10" s="3">
        <v>3</v>
      </c>
      <c r="K10" s="3">
        <v>0.15</v>
      </c>
      <c r="L10" s="3" t="s">
        <v>31</v>
      </c>
      <c r="M10" s="3" t="s">
        <v>17</v>
      </c>
      <c r="N10" s="7">
        <f t="shared" si="3"/>
        <v>5400</v>
      </c>
      <c r="O10" s="7">
        <f t="shared" si="4"/>
        <v>810</v>
      </c>
      <c r="P10" s="7">
        <f t="shared" si="5"/>
        <v>4590</v>
      </c>
      <c r="Q10" s="7">
        <f t="shared" si="0"/>
        <v>4590</v>
      </c>
      <c r="R10" s="3" t="str">
        <f t="shared" si="6"/>
        <v>Standard</v>
      </c>
      <c r="S10" s="3">
        <f>SUMIFS(Q10,F10,"West",M10,"Delivered")</f>
        <v>0</v>
      </c>
      <c r="T10" s="3"/>
      <c r="U10" s="3"/>
      <c r="V10" s="3"/>
      <c r="W10" s="3"/>
    </row>
    <row r="11" spans="1:23" x14ac:dyDescent="0.3">
      <c r="A11" s="3" t="s">
        <v>76</v>
      </c>
      <c r="B11" s="4">
        <v>45683</v>
      </c>
      <c r="C11" s="5" t="str">
        <f t="shared" si="1"/>
        <v>Suresh Prasad</v>
      </c>
      <c r="D11" s="3" t="s">
        <v>77</v>
      </c>
      <c r="E11" s="3" t="s">
        <v>78</v>
      </c>
      <c r="F11" s="3" t="s">
        <v>47</v>
      </c>
      <c r="G11" s="3" t="str">
        <f t="shared" si="2"/>
        <v>Home &amp; Kitchen</v>
      </c>
      <c r="H11" s="6" t="s">
        <v>29</v>
      </c>
      <c r="I11" s="7">
        <v>6200</v>
      </c>
      <c r="J11" s="3">
        <v>1</v>
      </c>
      <c r="K11" s="3">
        <v>0.1</v>
      </c>
      <c r="L11" s="3" t="s">
        <v>38</v>
      </c>
      <c r="M11" s="3" t="s">
        <v>17</v>
      </c>
      <c r="N11" s="7">
        <f t="shared" si="3"/>
        <v>6200</v>
      </c>
      <c r="O11" s="7">
        <f t="shared" si="4"/>
        <v>620</v>
      </c>
      <c r="P11" s="7">
        <f t="shared" si="5"/>
        <v>5580</v>
      </c>
      <c r="Q11" s="7">
        <f t="shared" si="0"/>
        <v>5580</v>
      </c>
      <c r="R11" s="3" t="str">
        <f t="shared" si="6"/>
        <v>Standard</v>
      </c>
      <c r="S11" s="3">
        <f t="shared" si="8"/>
        <v>0</v>
      </c>
      <c r="T11" s="3"/>
      <c r="U11" s="3"/>
      <c r="V11" s="3"/>
      <c r="W11" s="3"/>
    </row>
    <row r="12" spans="1:23" x14ac:dyDescent="0.3">
      <c r="A12" s="3" t="s">
        <v>79</v>
      </c>
      <c r="B12" s="4">
        <v>45669</v>
      </c>
      <c r="C12" s="5" t="str">
        <f t="shared" si="1"/>
        <v>Swati Shah</v>
      </c>
      <c r="D12" s="3" t="s">
        <v>80</v>
      </c>
      <c r="E12" s="3" t="s">
        <v>81</v>
      </c>
      <c r="F12" s="3" t="s">
        <v>14</v>
      </c>
      <c r="G12" s="3" t="str">
        <f t="shared" si="2"/>
        <v>Beauty &amp; Grooming</v>
      </c>
      <c r="H12" s="6" t="s">
        <v>42</v>
      </c>
      <c r="I12" s="7">
        <v>1290</v>
      </c>
      <c r="J12" s="3">
        <v>2</v>
      </c>
      <c r="K12" s="3">
        <v>0</v>
      </c>
      <c r="L12" s="3" t="s">
        <v>16</v>
      </c>
      <c r="M12" s="3" t="s">
        <v>32</v>
      </c>
      <c r="N12" s="7">
        <f t="shared" si="3"/>
        <v>2580</v>
      </c>
      <c r="O12" s="7">
        <f t="shared" si="4"/>
        <v>0</v>
      </c>
      <c r="P12" s="7">
        <f t="shared" si="5"/>
        <v>2580</v>
      </c>
      <c r="Q12" s="7">
        <f t="shared" si="0"/>
        <v>0</v>
      </c>
      <c r="R12" s="3" t="str">
        <f t="shared" si="6"/>
        <v>Standard</v>
      </c>
      <c r="S12" s="3">
        <f t="shared" si="8"/>
        <v>0</v>
      </c>
      <c r="T12" s="3"/>
      <c r="U12" s="3"/>
      <c r="V12" s="3"/>
      <c r="W12" s="3"/>
    </row>
    <row r="13" spans="1:23" x14ac:dyDescent="0.3">
      <c r="A13" s="3" t="s">
        <v>89</v>
      </c>
      <c r="B13" s="4">
        <v>45887</v>
      </c>
      <c r="C13" s="5" t="str">
        <f t="shared" si="1"/>
        <v>Kiran Rao</v>
      </c>
      <c r="D13" s="3" t="s">
        <v>90</v>
      </c>
      <c r="E13" s="3" t="s">
        <v>91</v>
      </c>
      <c r="F13" s="3" t="s">
        <v>36</v>
      </c>
      <c r="G13" s="3" t="str">
        <f t="shared" si="2"/>
        <v>Fashion &amp; Ethnic</v>
      </c>
      <c r="H13" s="6" t="s">
        <v>21</v>
      </c>
      <c r="I13" s="7">
        <v>1450</v>
      </c>
      <c r="J13" s="3">
        <v>2</v>
      </c>
      <c r="K13" s="3">
        <v>0.05</v>
      </c>
      <c r="L13" s="3" t="s">
        <v>16</v>
      </c>
      <c r="M13" s="3" t="s">
        <v>17</v>
      </c>
      <c r="N13" s="7">
        <f t="shared" si="3"/>
        <v>2900</v>
      </c>
      <c r="O13" s="7">
        <f t="shared" si="4"/>
        <v>145</v>
      </c>
      <c r="P13" s="7">
        <f t="shared" si="5"/>
        <v>2755</v>
      </c>
      <c r="Q13" s="7">
        <f t="shared" si="0"/>
        <v>2755</v>
      </c>
      <c r="R13" s="3" t="str">
        <f t="shared" si="6"/>
        <v>Standard</v>
      </c>
      <c r="S13" s="3">
        <f t="shared" si="8"/>
        <v>0</v>
      </c>
      <c r="T13" s="3"/>
      <c r="U13" s="3"/>
      <c r="V13" s="3"/>
      <c r="W13" s="3"/>
    </row>
    <row r="14" spans="1:23" x14ac:dyDescent="0.3">
      <c r="A14" s="3" t="s">
        <v>92</v>
      </c>
      <c r="B14" s="4">
        <v>45880</v>
      </c>
      <c r="C14" s="5" t="str">
        <f t="shared" si="1"/>
        <v>Simran Kaur</v>
      </c>
      <c r="D14" s="3" t="s">
        <v>93</v>
      </c>
      <c r="E14" s="3" t="s">
        <v>94</v>
      </c>
      <c r="F14" s="3" t="s">
        <v>28</v>
      </c>
      <c r="G14" s="3" t="str">
        <f t="shared" si="2"/>
        <v>Mobiles &amp; Accessories</v>
      </c>
      <c r="H14" s="6" t="s">
        <v>48</v>
      </c>
      <c r="I14" s="7">
        <v>21999</v>
      </c>
      <c r="J14" s="3">
        <v>1</v>
      </c>
      <c r="K14" s="3">
        <v>0.1</v>
      </c>
      <c r="L14" s="3" t="s">
        <v>54</v>
      </c>
      <c r="M14" s="3" t="s">
        <v>43</v>
      </c>
      <c r="N14" s="7">
        <f t="shared" si="3"/>
        <v>21999</v>
      </c>
      <c r="O14" s="7">
        <f t="shared" si="4"/>
        <v>2199.9</v>
      </c>
      <c r="P14" s="7">
        <f t="shared" si="5"/>
        <v>19799.099999999999</v>
      </c>
      <c r="Q14" s="7">
        <f t="shared" si="0"/>
        <v>0</v>
      </c>
      <c r="R14" s="3" t="str">
        <f t="shared" si="6"/>
        <v>High Value</v>
      </c>
      <c r="S14" s="3">
        <f t="shared" si="8"/>
        <v>0</v>
      </c>
      <c r="T14" s="3"/>
      <c r="U14" s="3"/>
      <c r="V14" s="3"/>
      <c r="W14" s="3"/>
    </row>
    <row r="15" spans="1:23" x14ac:dyDescent="0.3">
      <c r="A15" s="3" t="s">
        <v>95</v>
      </c>
      <c r="B15" s="4">
        <v>45868</v>
      </c>
      <c r="C15" s="5" t="str">
        <f t="shared" si="1"/>
        <v>Arjun Nair</v>
      </c>
      <c r="D15" s="3" t="s">
        <v>96</v>
      </c>
      <c r="E15" s="3" t="s">
        <v>97</v>
      </c>
      <c r="F15" s="3" t="s">
        <v>36</v>
      </c>
      <c r="G15" s="3" t="str">
        <f t="shared" si="2"/>
        <v>Home &amp; Kitchen</v>
      </c>
      <c r="H15" s="6" t="s">
        <v>29</v>
      </c>
      <c r="I15" s="7">
        <v>3500</v>
      </c>
      <c r="J15" s="3">
        <v>2</v>
      </c>
      <c r="K15" s="3">
        <v>0</v>
      </c>
      <c r="L15" s="3" t="s">
        <v>31</v>
      </c>
      <c r="M15" s="3" t="s">
        <v>17</v>
      </c>
      <c r="N15" s="7">
        <f t="shared" si="3"/>
        <v>7000</v>
      </c>
      <c r="O15" s="7">
        <f t="shared" si="4"/>
        <v>0</v>
      </c>
      <c r="P15" s="7">
        <f t="shared" si="5"/>
        <v>7000</v>
      </c>
      <c r="Q15" s="7">
        <f t="shared" si="0"/>
        <v>7000</v>
      </c>
      <c r="R15" s="3" t="str">
        <f t="shared" si="6"/>
        <v>Standard</v>
      </c>
      <c r="S15" s="3">
        <f t="shared" si="8"/>
        <v>0</v>
      </c>
      <c r="T15" s="3"/>
      <c r="U15" s="3"/>
      <c r="V15" s="3"/>
      <c r="W15" s="3"/>
    </row>
    <row r="16" spans="1:23" x14ac:dyDescent="0.3">
      <c r="A16" s="3" t="s">
        <v>104</v>
      </c>
      <c r="B16" s="4">
        <v>45863</v>
      </c>
      <c r="C16" s="5" t="str">
        <f t="shared" si="1"/>
        <v>Aarti Sharma</v>
      </c>
      <c r="D16" s="3" t="s">
        <v>105</v>
      </c>
      <c r="E16" s="3" t="s">
        <v>106</v>
      </c>
      <c r="F16" s="3" t="s">
        <v>87</v>
      </c>
      <c r="G16" s="3" t="str">
        <f t="shared" si="2"/>
        <v>Electronics</v>
      </c>
      <c r="H16" s="6" t="s">
        <v>67</v>
      </c>
      <c r="I16" s="7">
        <v>65000</v>
      </c>
      <c r="J16" s="3">
        <v>1</v>
      </c>
      <c r="K16" s="3">
        <v>0.15</v>
      </c>
      <c r="L16" s="3" t="s">
        <v>23</v>
      </c>
      <c r="M16" s="3" t="s">
        <v>17</v>
      </c>
      <c r="N16" s="7">
        <f t="shared" si="3"/>
        <v>65000</v>
      </c>
      <c r="O16" s="7">
        <f t="shared" si="4"/>
        <v>9750</v>
      </c>
      <c r="P16" s="7">
        <f t="shared" si="5"/>
        <v>55250</v>
      </c>
      <c r="Q16" s="7">
        <f t="shared" si="0"/>
        <v>55250</v>
      </c>
      <c r="R16" s="3" t="str">
        <f t="shared" si="6"/>
        <v>High Value</v>
      </c>
      <c r="S16" s="3">
        <f t="shared" si="8"/>
        <v>0</v>
      </c>
      <c r="T16" s="3"/>
      <c r="U16" s="3"/>
      <c r="V16" s="3"/>
      <c r="W16" s="3"/>
    </row>
    <row r="17" spans="1:23" x14ac:dyDescent="0.3">
      <c r="A17" s="3" t="s">
        <v>108</v>
      </c>
      <c r="B17" s="4">
        <v>45857</v>
      </c>
      <c r="C17" s="5" t="str">
        <f t="shared" si="1"/>
        <v>Tarun Mehra</v>
      </c>
      <c r="D17" s="3" t="s">
        <v>109</v>
      </c>
      <c r="E17" s="3" t="s">
        <v>110</v>
      </c>
      <c r="F17" s="3" t="s">
        <v>28</v>
      </c>
      <c r="G17" s="3" t="str">
        <f t="shared" si="2"/>
        <v>Fashion &amp; Ethnic</v>
      </c>
      <c r="H17" s="6" t="s">
        <v>53</v>
      </c>
      <c r="I17" s="7">
        <v>2800</v>
      </c>
      <c r="J17" s="3">
        <v>2</v>
      </c>
      <c r="K17" s="3">
        <v>0.05</v>
      </c>
      <c r="L17" s="3" t="s">
        <v>16</v>
      </c>
      <c r="M17" s="3" t="s">
        <v>32</v>
      </c>
      <c r="N17" s="7">
        <f t="shared" si="3"/>
        <v>5600</v>
      </c>
      <c r="O17" s="7">
        <f t="shared" si="4"/>
        <v>280</v>
      </c>
      <c r="P17" s="7">
        <f t="shared" si="5"/>
        <v>5320</v>
      </c>
      <c r="Q17" s="7">
        <f t="shared" si="0"/>
        <v>0</v>
      </c>
      <c r="R17" s="3" t="str">
        <f t="shared" si="6"/>
        <v>Standard</v>
      </c>
      <c r="S17" s="3">
        <f t="shared" si="8"/>
        <v>0</v>
      </c>
      <c r="T17" s="3"/>
      <c r="U17" s="3"/>
      <c r="V17" s="3"/>
      <c r="W17" s="3"/>
    </row>
    <row r="18" spans="1:23" x14ac:dyDescent="0.3">
      <c r="A18" s="3" t="s">
        <v>111</v>
      </c>
      <c r="B18" s="4">
        <v>45846</v>
      </c>
      <c r="C18" s="5" t="str">
        <f t="shared" si="1"/>
        <v>Gautam Kashyap</v>
      </c>
      <c r="D18" s="3" t="s">
        <v>112</v>
      </c>
      <c r="E18" s="3" t="s">
        <v>113</v>
      </c>
      <c r="F18" s="3" t="s">
        <v>14</v>
      </c>
      <c r="G18" s="3" t="str">
        <f t="shared" si="2"/>
        <v>Mobiles &amp; Accessories</v>
      </c>
      <c r="H18" s="6" t="s">
        <v>15</v>
      </c>
      <c r="I18" s="7">
        <v>11499</v>
      </c>
      <c r="J18" s="3">
        <v>1</v>
      </c>
      <c r="K18" s="3">
        <v>0.1</v>
      </c>
      <c r="L18" s="3" t="s">
        <v>54</v>
      </c>
      <c r="M18" s="3" t="s">
        <v>17</v>
      </c>
      <c r="N18" s="7">
        <f t="shared" si="3"/>
        <v>11499</v>
      </c>
      <c r="O18" s="7">
        <f t="shared" si="4"/>
        <v>1149.9000000000001</v>
      </c>
      <c r="P18" s="7">
        <f t="shared" si="5"/>
        <v>10349.1</v>
      </c>
      <c r="Q18" s="7">
        <f t="shared" si="0"/>
        <v>10349.1</v>
      </c>
      <c r="R18" s="3" t="str">
        <f t="shared" si="6"/>
        <v>High Value</v>
      </c>
      <c r="S18" s="3">
        <f t="shared" si="8"/>
        <v>10349.1</v>
      </c>
      <c r="T18" s="3"/>
      <c r="U18" s="3"/>
      <c r="V18" s="3"/>
      <c r="W18" s="3"/>
    </row>
    <row r="19" spans="1:23" x14ac:dyDescent="0.3">
      <c r="A19" s="3" t="s">
        <v>118</v>
      </c>
      <c r="B19" s="4">
        <v>45840</v>
      </c>
      <c r="C19" s="5" t="str">
        <f t="shared" si="1"/>
        <v>Riya Sen</v>
      </c>
      <c r="D19" s="3" t="s">
        <v>119</v>
      </c>
      <c r="E19" s="3" t="s">
        <v>120</v>
      </c>
      <c r="F19" s="3" t="s">
        <v>47</v>
      </c>
      <c r="G19" s="3" t="str">
        <f t="shared" si="2"/>
        <v>Beauty &amp; Grooming</v>
      </c>
      <c r="H19" s="6" t="s">
        <v>63</v>
      </c>
      <c r="I19" s="7">
        <v>980</v>
      </c>
      <c r="J19" s="3">
        <v>2</v>
      </c>
      <c r="K19" s="3">
        <v>0.15</v>
      </c>
      <c r="L19" s="3" t="s">
        <v>16</v>
      </c>
      <c r="M19" s="3" t="s">
        <v>43</v>
      </c>
      <c r="N19" s="7">
        <f t="shared" si="3"/>
        <v>1960</v>
      </c>
      <c r="O19" s="7">
        <f t="shared" si="4"/>
        <v>294</v>
      </c>
      <c r="P19" s="7">
        <f t="shared" si="5"/>
        <v>1666</v>
      </c>
      <c r="Q19" s="7">
        <f t="shared" si="0"/>
        <v>0</v>
      </c>
      <c r="R19" s="3" t="str">
        <f t="shared" si="6"/>
        <v>Standard</v>
      </c>
      <c r="S19" s="3">
        <f t="shared" si="8"/>
        <v>0</v>
      </c>
      <c r="T19" s="3"/>
      <c r="U19" s="3"/>
      <c r="V19" s="3"/>
      <c r="W19" s="3"/>
    </row>
    <row r="20" spans="1:23" x14ac:dyDescent="0.3">
      <c r="A20" s="3" t="s">
        <v>122</v>
      </c>
      <c r="B20" s="4">
        <v>45834</v>
      </c>
      <c r="C20" s="5" t="str">
        <f t="shared" si="1"/>
        <v>Alok Pandey</v>
      </c>
      <c r="D20" s="3" t="s">
        <v>123</v>
      </c>
      <c r="E20" s="3" t="s">
        <v>124</v>
      </c>
      <c r="F20" s="3" t="s">
        <v>28</v>
      </c>
      <c r="G20" s="3" t="str">
        <f t="shared" si="2"/>
        <v>Electronics</v>
      </c>
      <c r="H20" s="6" t="s">
        <v>67</v>
      </c>
      <c r="I20" s="7">
        <v>28500</v>
      </c>
      <c r="J20" s="3">
        <v>1</v>
      </c>
      <c r="K20" s="3">
        <v>0.2</v>
      </c>
      <c r="L20" s="3" t="s">
        <v>38</v>
      </c>
      <c r="M20" s="3" t="s">
        <v>17</v>
      </c>
      <c r="N20" s="7">
        <f t="shared" si="3"/>
        <v>28500</v>
      </c>
      <c r="O20" s="7">
        <f t="shared" si="4"/>
        <v>5700</v>
      </c>
      <c r="P20" s="7">
        <f t="shared" si="5"/>
        <v>22800</v>
      </c>
      <c r="Q20" s="7">
        <f t="shared" si="0"/>
        <v>22800</v>
      </c>
      <c r="R20" s="3" t="str">
        <f t="shared" si="6"/>
        <v>High Value</v>
      </c>
      <c r="S20" s="3">
        <f t="shared" si="8"/>
        <v>0</v>
      </c>
      <c r="T20" s="3"/>
      <c r="U20" s="3"/>
      <c r="V20" s="3"/>
      <c r="W20" s="3"/>
    </row>
    <row r="21" spans="1:23" x14ac:dyDescent="0.3">
      <c r="A21" s="3" t="s">
        <v>125</v>
      </c>
      <c r="B21" s="4">
        <v>45823</v>
      </c>
      <c r="C21" s="5" t="str">
        <f t="shared" si="1"/>
        <v>Megha Kapoor</v>
      </c>
      <c r="D21" s="3" t="s">
        <v>126</v>
      </c>
      <c r="E21" s="3" t="s">
        <v>52</v>
      </c>
      <c r="F21" s="3" t="s">
        <v>14</v>
      </c>
      <c r="G21" s="3" t="str">
        <f t="shared" si="2"/>
        <v>Fashion &amp; Ethnic</v>
      </c>
      <c r="H21" s="6" t="s">
        <v>21</v>
      </c>
      <c r="I21" s="7">
        <v>3450</v>
      </c>
      <c r="J21" s="3">
        <v>2</v>
      </c>
      <c r="K21" s="3">
        <v>0.1</v>
      </c>
      <c r="L21" s="3" t="s">
        <v>16</v>
      </c>
      <c r="M21" s="3" t="s">
        <v>17</v>
      </c>
      <c r="N21" s="7">
        <f t="shared" si="3"/>
        <v>6900</v>
      </c>
      <c r="O21" s="7">
        <f t="shared" si="4"/>
        <v>690</v>
      </c>
      <c r="P21" s="7">
        <f t="shared" si="5"/>
        <v>6210</v>
      </c>
      <c r="Q21" s="7">
        <f t="shared" si="0"/>
        <v>6210</v>
      </c>
      <c r="R21" s="3" t="str">
        <f t="shared" si="6"/>
        <v>Standard</v>
      </c>
      <c r="S21" s="3">
        <f t="shared" si="8"/>
        <v>6210</v>
      </c>
      <c r="T21" s="3"/>
      <c r="U21" s="3"/>
      <c r="V21" s="3"/>
      <c r="W21" s="3"/>
    </row>
    <row r="22" spans="1:23" x14ac:dyDescent="0.3">
      <c r="A22" s="3" t="s">
        <v>131</v>
      </c>
      <c r="B22" s="4">
        <v>45818</v>
      </c>
      <c r="C22" s="5" t="str">
        <f t="shared" si="1"/>
        <v>Shalini Roy</v>
      </c>
      <c r="D22" s="3" t="s">
        <v>132</v>
      </c>
      <c r="E22" s="3" t="s">
        <v>133</v>
      </c>
      <c r="F22" s="3" t="s">
        <v>47</v>
      </c>
      <c r="G22" s="3" t="str">
        <f t="shared" si="2"/>
        <v>Home &amp; Kitchen</v>
      </c>
      <c r="H22" s="6" t="s">
        <v>58</v>
      </c>
      <c r="I22" s="7">
        <v>7600</v>
      </c>
      <c r="J22" s="3">
        <v>1</v>
      </c>
      <c r="K22" s="3">
        <v>0</v>
      </c>
      <c r="L22" s="3" t="s">
        <v>23</v>
      </c>
      <c r="M22" s="3" t="s">
        <v>17</v>
      </c>
      <c r="N22" s="7">
        <f t="shared" si="3"/>
        <v>7600</v>
      </c>
      <c r="O22" s="7">
        <f t="shared" si="4"/>
        <v>0</v>
      </c>
      <c r="P22" s="7">
        <f t="shared" si="5"/>
        <v>7600</v>
      </c>
      <c r="Q22" s="7">
        <f t="shared" si="0"/>
        <v>7600</v>
      </c>
      <c r="R22" s="3" t="str">
        <f t="shared" si="6"/>
        <v>Standard</v>
      </c>
      <c r="S22" s="3">
        <f t="shared" si="8"/>
        <v>0</v>
      </c>
      <c r="T22" s="3"/>
      <c r="U22" s="3"/>
      <c r="V22" s="3"/>
      <c r="W22" s="3"/>
    </row>
    <row r="23" spans="1:23" x14ac:dyDescent="0.3">
      <c r="A23" s="3" t="s">
        <v>134</v>
      </c>
      <c r="B23" s="4">
        <v>45812</v>
      </c>
      <c r="C23" s="5" t="str">
        <f t="shared" si="1"/>
        <v>Sanjay Dutt</v>
      </c>
      <c r="D23" s="3" t="s">
        <v>135</v>
      </c>
      <c r="E23" s="3" t="s">
        <v>136</v>
      </c>
      <c r="F23" s="3" t="s">
        <v>28</v>
      </c>
      <c r="G23" s="3" t="str">
        <f t="shared" si="2"/>
        <v>Beauty &amp; Grooming</v>
      </c>
      <c r="H23" s="6" t="s">
        <v>63</v>
      </c>
      <c r="I23" s="7">
        <v>620</v>
      </c>
      <c r="J23" s="3">
        <v>4</v>
      </c>
      <c r="K23" s="3">
        <v>0.1</v>
      </c>
      <c r="L23" s="3" t="s">
        <v>16</v>
      </c>
      <c r="M23" s="3" t="s">
        <v>17</v>
      </c>
      <c r="N23" s="7">
        <f t="shared" si="3"/>
        <v>2480</v>
      </c>
      <c r="O23" s="7">
        <f t="shared" si="4"/>
        <v>248</v>
      </c>
      <c r="P23" s="7">
        <f t="shared" si="5"/>
        <v>2232</v>
      </c>
      <c r="Q23" s="7">
        <f t="shared" si="0"/>
        <v>2232</v>
      </c>
      <c r="R23" s="3" t="str">
        <f t="shared" si="6"/>
        <v>Standard</v>
      </c>
      <c r="S23" s="3">
        <f t="shared" si="8"/>
        <v>0</v>
      </c>
      <c r="T23" s="3"/>
      <c r="U23" s="3"/>
      <c r="V23" s="3"/>
      <c r="W23" s="3"/>
    </row>
    <row r="24" spans="1:23" x14ac:dyDescent="0.3">
      <c r="A24" s="3" t="s">
        <v>137</v>
      </c>
      <c r="B24" s="4">
        <v>45801</v>
      </c>
      <c r="C24" s="5" t="str">
        <f t="shared" si="1"/>
        <v>Deepak Chawla</v>
      </c>
      <c r="D24" s="3" t="s">
        <v>138</v>
      </c>
      <c r="E24" s="3" t="s">
        <v>27</v>
      </c>
      <c r="F24" s="3" t="s">
        <v>28</v>
      </c>
      <c r="G24" s="3" t="str">
        <f t="shared" si="2"/>
        <v>Electronics</v>
      </c>
      <c r="H24" s="6" t="s">
        <v>67</v>
      </c>
      <c r="I24" s="7">
        <v>48999</v>
      </c>
      <c r="J24" s="3">
        <v>1</v>
      </c>
      <c r="K24" s="3">
        <v>0.15</v>
      </c>
      <c r="L24" s="3" t="s">
        <v>23</v>
      </c>
      <c r="M24" s="3" t="s">
        <v>17</v>
      </c>
      <c r="N24" s="7">
        <f t="shared" si="3"/>
        <v>48999</v>
      </c>
      <c r="O24" s="7">
        <f t="shared" si="4"/>
        <v>7349.8499999999995</v>
      </c>
      <c r="P24" s="7">
        <f t="shared" si="5"/>
        <v>41649.15</v>
      </c>
      <c r="Q24" s="7">
        <f t="shared" si="0"/>
        <v>41649.15</v>
      </c>
      <c r="R24" s="3" t="str">
        <f t="shared" si="6"/>
        <v>High Value</v>
      </c>
      <c r="S24" s="3">
        <f t="shared" si="8"/>
        <v>0</v>
      </c>
      <c r="T24" s="3"/>
      <c r="U24" s="3"/>
      <c r="V24" s="3"/>
      <c r="W24" s="3"/>
    </row>
    <row r="25" spans="1:23" x14ac:dyDescent="0.3">
      <c r="A25" s="3" t="s">
        <v>144</v>
      </c>
      <c r="B25" s="4">
        <v>45795</v>
      </c>
      <c r="C25" s="5" t="str">
        <f t="shared" si="1"/>
        <v>Siddharth Rao</v>
      </c>
      <c r="D25" s="3" t="s">
        <v>145</v>
      </c>
      <c r="E25" s="3" t="s">
        <v>35</v>
      </c>
      <c r="F25" s="3" t="s">
        <v>36</v>
      </c>
      <c r="G25" s="3" t="str">
        <f t="shared" si="2"/>
        <v>Mobiles &amp; Accessories</v>
      </c>
      <c r="H25" s="6" t="s">
        <v>15</v>
      </c>
      <c r="I25" s="7">
        <v>34999</v>
      </c>
      <c r="J25" s="3">
        <v>1</v>
      </c>
      <c r="K25" s="3">
        <v>0.12</v>
      </c>
      <c r="L25" s="3" t="s">
        <v>38</v>
      </c>
      <c r="M25" s="3" t="s">
        <v>17</v>
      </c>
      <c r="N25" s="7">
        <f t="shared" si="3"/>
        <v>34999</v>
      </c>
      <c r="O25" s="7">
        <f t="shared" si="4"/>
        <v>4199.88</v>
      </c>
      <c r="P25" s="7">
        <f t="shared" si="5"/>
        <v>30799.119999999999</v>
      </c>
      <c r="Q25" s="7">
        <f t="shared" si="0"/>
        <v>30799.119999999999</v>
      </c>
      <c r="R25" s="3" t="str">
        <f t="shared" si="6"/>
        <v>High Value</v>
      </c>
      <c r="S25" s="3">
        <f t="shared" si="8"/>
        <v>0</v>
      </c>
      <c r="T25" s="3"/>
      <c r="U25" s="3"/>
      <c r="V25" s="3"/>
      <c r="W25" s="3"/>
    </row>
    <row r="26" spans="1:23" x14ac:dyDescent="0.3">
      <c r="A26" s="3" t="s">
        <v>146</v>
      </c>
      <c r="B26" s="4">
        <v>45788</v>
      </c>
      <c r="C26" s="5" t="str">
        <f t="shared" si="1"/>
        <v>Pankaj Tripathi</v>
      </c>
      <c r="D26" s="3" t="s">
        <v>147</v>
      </c>
      <c r="E26" s="3" t="s">
        <v>148</v>
      </c>
      <c r="F26" s="3" t="s">
        <v>28</v>
      </c>
      <c r="G26" s="3" t="str">
        <f t="shared" si="2"/>
        <v>Home &amp; Kitchen</v>
      </c>
      <c r="H26" s="6" t="s">
        <v>29</v>
      </c>
      <c r="I26" s="7">
        <v>2900</v>
      </c>
      <c r="J26" s="3">
        <v>2</v>
      </c>
      <c r="K26" s="3">
        <v>0.05</v>
      </c>
      <c r="L26" s="3" t="s">
        <v>31</v>
      </c>
      <c r="M26" s="3" t="s">
        <v>32</v>
      </c>
      <c r="N26" s="7">
        <f t="shared" si="3"/>
        <v>5800</v>
      </c>
      <c r="O26" s="7">
        <f t="shared" si="4"/>
        <v>290</v>
      </c>
      <c r="P26" s="7">
        <f t="shared" si="5"/>
        <v>5510</v>
      </c>
      <c r="Q26" s="7">
        <f t="shared" si="0"/>
        <v>0</v>
      </c>
      <c r="R26" s="3" t="str">
        <f t="shared" si="6"/>
        <v>Standard</v>
      </c>
      <c r="S26" s="3">
        <f t="shared" si="8"/>
        <v>0</v>
      </c>
      <c r="T26" s="3"/>
      <c r="U26" s="3"/>
      <c r="V26" s="3"/>
      <c r="W26" s="3"/>
    </row>
    <row r="27" spans="1:23" x14ac:dyDescent="0.3">
      <c r="A27" s="3" t="s">
        <v>149</v>
      </c>
      <c r="B27" s="4">
        <v>45777</v>
      </c>
      <c r="C27" s="5" t="str">
        <f t="shared" si="1"/>
        <v>Tanvi Hegde</v>
      </c>
      <c r="D27" s="3" t="s">
        <v>150</v>
      </c>
      <c r="E27" s="3" t="s">
        <v>151</v>
      </c>
      <c r="F27" s="3" t="s">
        <v>36</v>
      </c>
      <c r="G27" s="3" t="str">
        <f t="shared" si="2"/>
        <v>Beauty &amp; Grooming</v>
      </c>
      <c r="H27" s="6" t="s">
        <v>63</v>
      </c>
      <c r="I27" s="7">
        <v>1450</v>
      </c>
      <c r="J27" s="3">
        <v>2</v>
      </c>
      <c r="K27" s="3">
        <v>0</v>
      </c>
      <c r="L27" s="3" t="s">
        <v>16</v>
      </c>
      <c r="M27" s="3" t="s">
        <v>17</v>
      </c>
      <c r="N27" s="7">
        <f t="shared" si="3"/>
        <v>2900</v>
      </c>
      <c r="O27" s="7">
        <f t="shared" si="4"/>
        <v>0</v>
      </c>
      <c r="P27" s="7">
        <f t="shared" si="5"/>
        <v>2900</v>
      </c>
      <c r="Q27" s="7">
        <f t="shared" si="0"/>
        <v>2900</v>
      </c>
      <c r="R27" s="3" t="str">
        <f t="shared" si="6"/>
        <v>Standard</v>
      </c>
      <c r="S27" s="3">
        <f t="shared" si="8"/>
        <v>0</v>
      </c>
      <c r="T27" s="3"/>
      <c r="U27" s="3"/>
      <c r="V27" s="3"/>
      <c r="W27" s="3"/>
    </row>
    <row r="28" spans="1:23" x14ac:dyDescent="0.3">
      <c r="A28" s="3" t="s">
        <v>156</v>
      </c>
      <c r="B28" s="4">
        <v>45772</v>
      </c>
      <c r="C28" s="5" t="str">
        <f t="shared" si="1"/>
        <v>Ananya Mishra</v>
      </c>
      <c r="D28" s="3" t="s">
        <v>157</v>
      </c>
      <c r="E28" s="3" t="s">
        <v>46</v>
      </c>
      <c r="F28" s="3" t="s">
        <v>47</v>
      </c>
      <c r="G28" s="3" t="str">
        <f t="shared" si="2"/>
        <v>Fashion &amp; Ethnic</v>
      </c>
      <c r="H28" s="6" t="s">
        <v>21</v>
      </c>
      <c r="I28" s="7">
        <v>4200</v>
      </c>
      <c r="J28" s="3">
        <v>1</v>
      </c>
      <c r="K28" s="3">
        <v>0.15</v>
      </c>
      <c r="L28" s="3" t="s">
        <v>16</v>
      </c>
      <c r="M28" s="3" t="s">
        <v>17</v>
      </c>
      <c r="N28" s="7">
        <f t="shared" si="3"/>
        <v>4200</v>
      </c>
      <c r="O28" s="7">
        <f t="shared" si="4"/>
        <v>630</v>
      </c>
      <c r="P28" s="7">
        <f t="shared" si="5"/>
        <v>3570</v>
      </c>
      <c r="Q28" s="7">
        <f t="shared" si="0"/>
        <v>3570</v>
      </c>
      <c r="R28" s="3" t="str">
        <f t="shared" si="6"/>
        <v>Standard</v>
      </c>
      <c r="S28" s="3">
        <f t="shared" si="8"/>
        <v>0</v>
      </c>
      <c r="T28" s="3"/>
      <c r="U28" s="3"/>
      <c r="V28" s="3"/>
      <c r="W28" s="3"/>
    </row>
    <row r="29" spans="1:23" x14ac:dyDescent="0.3">
      <c r="A29" s="3" t="s">
        <v>158</v>
      </c>
      <c r="B29" s="4">
        <v>45766</v>
      </c>
      <c r="C29" s="5" t="str">
        <f t="shared" si="1"/>
        <v>Vishal Kulkarni</v>
      </c>
      <c r="D29" s="3" t="s">
        <v>159</v>
      </c>
      <c r="E29" s="3" t="s">
        <v>66</v>
      </c>
      <c r="F29" s="3" t="s">
        <v>14</v>
      </c>
      <c r="G29" s="3" t="str">
        <f t="shared" si="2"/>
        <v>Mobiles &amp; Accessories</v>
      </c>
      <c r="H29" s="6" t="s">
        <v>48</v>
      </c>
      <c r="I29" s="7">
        <v>29900</v>
      </c>
      <c r="J29" s="3">
        <v>1</v>
      </c>
      <c r="K29" s="3">
        <v>0.08</v>
      </c>
      <c r="L29" s="3" t="s">
        <v>54</v>
      </c>
      <c r="M29" s="3" t="s">
        <v>43</v>
      </c>
      <c r="N29" s="7">
        <f t="shared" si="3"/>
        <v>29900</v>
      </c>
      <c r="O29" s="7">
        <f t="shared" si="4"/>
        <v>2392</v>
      </c>
      <c r="P29" s="7">
        <f t="shared" si="5"/>
        <v>27508</v>
      </c>
      <c r="Q29" s="7">
        <f t="shared" si="0"/>
        <v>0</v>
      </c>
      <c r="R29" s="3" t="str">
        <f t="shared" si="6"/>
        <v>High Value</v>
      </c>
      <c r="S29" s="3">
        <f t="shared" si="8"/>
        <v>0</v>
      </c>
      <c r="T29" s="3"/>
      <c r="U29" s="3"/>
      <c r="V29" s="3"/>
      <c r="W29" s="3"/>
    </row>
    <row r="30" spans="1:23" x14ac:dyDescent="0.3">
      <c r="A30" s="3" t="s">
        <v>161</v>
      </c>
      <c r="B30" s="4">
        <v>45755</v>
      </c>
      <c r="C30" s="5" t="str">
        <f t="shared" si="1"/>
        <v>Shweta Shetty</v>
      </c>
      <c r="D30" s="3" t="s">
        <v>162</v>
      </c>
      <c r="E30" s="3" t="s">
        <v>13</v>
      </c>
      <c r="F30" s="3" t="s">
        <v>14</v>
      </c>
      <c r="G30" s="3" t="str">
        <f t="shared" si="2"/>
        <v>Home &amp; Kitchen</v>
      </c>
      <c r="H30" s="6" t="s">
        <v>29</v>
      </c>
      <c r="I30" s="7">
        <v>8900</v>
      </c>
      <c r="J30" s="3">
        <v>1</v>
      </c>
      <c r="K30" s="3">
        <v>0.1</v>
      </c>
      <c r="L30" s="3" t="s">
        <v>38</v>
      </c>
      <c r="M30" s="3" t="s">
        <v>17</v>
      </c>
      <c r="N30" s="7">
        <f t="shared" si="3"/>
        <v>8900</v>
      </c>
      <c r="O30" s="7">
        <f t="shared" si="4"/>
        <v>890</v>
      </c>
      <c r="P30" s="7">
        <f t="shared" si="5"/>
        <v>8010</v>
      </c>
      <c r="Q30" s="7">
        <f t="shared" si="0"/>
        <v>8010</v>
      </c>
      <c r="R30" s="3" t="str">
        <f t="shared" si="6"/>
        <v>Standard</v>
      </c>
      <c r="S30" s="3">
        <f t="shared" si="8"/>
        <v>8010</v>
      </c>
      <c r="T30" s="3"/>
      <c r="U30" s="3"/>
      <c r="V30" s="3"/>
      <c r="W30" s="3"/>
    </row>
    <row r="31" spans="1:23" x14ac:dyDescent="0.3">
      <c r="A31" s="3" t="s">
        <v>166</v>
      </c>
      <c r="B31" s="4">
        <v>45749</v>
      </c>
      <c r="C31" s="5" t="str">
        <f t="shared" si="1"/>
        <v>Priyanka Chopra</v>
      </c>
      <c r="D31" s="3" t="s">
        <v>167</v>
      </c>
      <c r="E31" s="3" t="s">
        <v>13</v>
      </c>
      <c r="F31" s="3" t="s">
        <v>14</v>
      </c>
      <c r="G31" s="3" t="str">
        <f t="shared" si="2"/>
        <v>Electronics</v>
      </c>
      <c r="H31" s="6" t="s">
        <v>67</v>
      </c>
      <c r="I31" s="7">
        <v>85000</v>
      </c>
      <c r="J31" s="3">
        <v>1</v>
      </c>
      <c r="K31" s="3">
        <v>0.2</v>
      </c>
      <c r="L31" s="3" t="s">
        <v>23</v>
      </c>
      <c r="M31" s="3" t="s">
        <v>17</v>
      </c>
      <c r="N31" s="7">
        <f t="shared" si="3"/>
        <v>85000</v>
      </c>
      <c r="O31" s="7">
        <f t="shared" si="4"/>
        <v>17000</v>
      </c>
      <c r="P31" s="7">
        <f t="shared" si="5"/>
        <v>68000</v>
      </c>
      <c r="Q31" s="7">
        <f t="shared" si="0"/>
        <v>68000</v>
      </c>
      <c r="R31" s="3" t="str">
        <f t="shared" si="6"/>
        <v>High Value</v>
      </c>
      <c r="S31" s="3">
        <f t="shared" si="8"/>
        <v>68000</v>
      </c>
      <c r="T31" s="3"/>
      <c r="U31" s="3"/>
      <c r="V31" s="3"/>
      <c r="W31" s="3"/>
    </row>
    <row r="32" spans="1:23" x14ac:dyDescent="0.3">
      <c r="A32" s="3" t="s">
        <v>168</v>
      </c>
      <c r="B32" s="4">
        <v>45743</v>
      </c>
      <c r="C32" s="5" t="str">
        <f t="shared" si="1"/>
        <v>Harish Rawat</v>
      </c>
      <c r="D32" s="3" t="s">
        <v>169</v>
      </c>
      <c r="E32" s="3" t="s">
        <v>170</v>
      </c>
      <c r="F32" s="3" t="s">
        <v>28</v>
      </c>
      <c r="G32" s="3" t="str">
        <f t="shared" si="2"/>
        <v>Fashion &amp; Ethnic</v>
      </c>
      <c r="H32" s="6" t="s">
        <v>53</v>
      </c>
      <c r="I32" s="7">
        <v>2600</v>
      </c>
      <c r="J32" s="3">
        <v>2</v>
      </c>
      <c r="K32" s="3">
        <v>0.05</v>
      </c>
      <c r="L32" s="3" t="s">
        <v>16</v>
      </c>
      <c r="M32" s="3" t="s">
        <v>17</v>
      </c>
      <c r="N32" s="7">
        <f t="shared" si="3"/>
        <v>5200</v>
      </c>
      <c r="O32" s="7">
        <f t="shared" si="4"/>
        <v>260</v>
      </c>
      <c r="P32" s="7">
        <f t="shared" si="5"/>
        <v>4940</v>
      </c>
      <c r="Q32" s="7">
        <f t="shared" si="0"/>
        <v>4940</v>
      </c>
      <c r="R32" s="3" t="str">
        <f t="shared" si="6"/>
        <v>Standard</v>
      </c>
      <c r="S32" s="3">
        <f t="shared" si="8"/>
        <v>0</v>
      </c>
      <c r="T32" s="3"/>
      <c r="U32" s="3"/>
      <c r="V32" s="3"/>
      <c r="W32" s="3"/>
    </row>
    <row r="33" spans="1:23" x14ac:dyDescent="0.3">
      <c r="A33" s="3" t="s">
        <v>172</v>
      </c>
      <c r="B33" s="4">
        <v>45733</v>
      </c>
      <c r="C33" s="5" t="str">
        <f t="shared" si="1"/>
        <v>Bhavna Shah</v>
      </c>
      <c r="D33" s="3" t="s">
        <v>173</v>
      </c>
      <c r="E33" s="3" t="s">
        <v>174</v>
      </c>
      <c r="F33" s="3" t="s">
        <v>14</v>
      </c>
      <c r="G33" s="3" t="str">
        <f t="shared" si="2"/>
        <v>Mobiles &amp; Accessories</v>
      </c>
      <c r="H33" s="6" t="s">
        <v>15</v>
      </c>
      <c r="I33" s="7">
        <v>16499</v>
      </c>
      <c r="J33" s="3">
        <v>1</v>
      </c>
      <c r="K33" s="3">
        <v>0.1</v>
      </c>
      <c r="L33" s="3" t="s">
        <v>54</v>
      </c>
      <c r="M33" s="3" t="s">
        <v>32</v>
      </c>
      <c r="N33" s="7">
        <f t="shared" si="3"/>
        <v>16499</v>
      </c>
      <c r="O33" s="7">
        <f t="shared" si="4"/>
        <v>1649.9</v>
      </c>
      <c r="P33" s="7">
        <f t="shared" si="5"/>
        <v>14849.1</v>
      </c>
      <c r="Q33" s="7">
        <f t="shared" si="0"/>
        <v>0</v>
      </c>
      <c r="R33" s="3" t="str">
        <f t="shared" si="6"/>
        <v>High Value</v>
      </c>
      <c r="S33" s="3">
        <f t="shared" si="8"/>
        <v>0</v>
      </c>
      <c r="T33" s="3"/>
      <c r="U33" s="3"/>
      <c r="V33" s="3"/>
      <c r="W33" s="3"/>
    </row>
    <row r="34" spans="1:23" x14ac:dyDescent="0.3">
      <c r="A34" s="3" t="s">
        <v>179</v>
      </c>
      <c r="B34" s="4">
        <v>45728</v>
      </c>
      <c r="C34" s="5" t="str">
        <f t="shared" si="1"/>
        <v>Ishita Dutta</v>
      </c>
      <c r="D34" s="3" t="s">
        <v>180</v>
      </c>
      <c r="E34" s="3" t="s">
        <v>181</v>
      </c>
      <c r="F34" s="3" t="s">
        <v>47</v>
      </c>
      <c r="G34" s="3" t="str">
        <f t="shared" si="2"/>
        <v>Beauty &amp; Grooming</v>
      </c>
      <c r="H34" s="6" t="s">
        <v>63</v>
      </c>
      <c r="I34" s="7">
        <v>1150</v>
      </c>
      <c r="J34" s="3">
        <v>2</v>
      </c>
      <c r="K34" s="3">
        <v>0.1</v>
      </c>
      <c r="L34" s="3" t="s">
        <v>16</v>
      </c>
      <c r="M34" s="3" t="s">
        <v>17</v>
      </c>
      <c r="N34" s="7">
        <f t="shared" si="3"/>
        <v>2300</v>
      </c>
      <c r="O34" s="7">
        <f t="shared" si="4"/>
        <v>230</v>
      </c>
      <c r="P34" s="7">
        <f t="shared" si="5"/>
        <v>2070</v>
      </c>
      <c r="Q34" s="7">
        <f t="shared" si="0"/>
        <v>2070</v>
      </c>
      <c r="R34" s="3" t="str">
        <f t="shared" si="6"/>
        <v>Standard</v>
      </c>
      <c r="S34" s="3">
        <f t="shared" si="8"/>
        <v>0</v>
      </c>
      <c r="T34" s="3"/>
      <c r="U34" s="3"/>
      <c r="V34" s="3"/>
      <c r="W34" s="3"/>
    </row>
    <row r="35" spans="1:23" x14ac:dyDescent="0.3">
      <c r="A35" s="3" t="s">
        <v>182</v>
      </c>
      <c r="B35" s="4">
        <v>45725</v>
      </c>
      <c r="C35" s="5" t="str">
        <f t="shared" si="1"/>
        <v>Yashvardhan Rathore</v>
      </c>
      <c r="D35" s="3" t="s">
        <v>183</v>
      </c>
      <c r="E35" s="3" t="s">
        <v>184</v>
      </c>
      <c r="F35" s="3" t="s">
        <v>28</v>
      </c>
      <c r="G35" s="3" t="str">
        <f t="shared" si="2"/>
        <v>Electronics</v>
      </c>
      <c r="H35" s="6" t="s">
        <v>67</v>
      </c>
      <c r="I35" s="7">
        <v>39999</v>
      </c>
      <c r="J35" s="3">
        <v>1</v>
      </c>
      <c r="K35" s="3">
        <v>0.15</v>
      </c>
      <c r="L35" s="3" t="s">
        <v>23</v>
      </c>
      <c r="M35" s="3" t="s">
        <v>17</v>
      </c>
      <c r="N35" s="7">
        <f t="shared" si="3"/>
        <v>39999</v>
      </c>
      <c r="O35" s="7">
        <f t="shared" si="4"/>
        <v>5999.8499999999995</v>
      </c>
      <c r="P35" s="7">
        <f t="shared" si="5"/>
        <v>33999.15</v>
      </c>
      <c r="Q35" s="7">
        <f t="shared" si="0"/>
        <v>33999.15</v>
      </c>
      <c r="R35" s="3" t="str">
        <f t="shared" si="6"/>
        <v>High Value</v>
      </c>
      <c r="S35" s="3">
        <f t="shared" si="8"/>
        <v>0</v>
      </c>
      <c r="T35" s="3"/>
      <c r="U35" s="3"/>
      <c r="V35" s="3"/>
      <c r="W35" s="3"/>
    </row>
    <row r="36" spans="1:23" x14ac:dyDescent="0.3">
      <c r="A36" s="3" t="s">
        <v>24</v>
      </c>
      <c r="B36" s="4">
        <v>45716</v>
      </c>
      <c r="C36" s="5" t="str">
        <f t="shared" si="1"/>
        <v>Amit Verma</v>
      </c>
      <c r="D36" s="3" t="s">
        <v>26</v>
      </c>
      <c r="E36" s="3" t="s">
        <v>27</v>
      </c>
      <c r="F36" s="3" t="s">
        <v>28</v>
      </c>
      <c r="G36" s="3" t="str">
        <f t="shared" si="2"/>
        <v>Home &amp; Kitchen</v>
      </c>
      <c r="H36" s="6" t="s">
        <v>29</v>
      </c>
      <c r="I36" s="7">
        <v>1850</v>
      </c>
      <c r="J36" s="3">
        <v>1</v>
      </c>
      <c r="K36" s="3">
        <v>0</v>
      </c>
      <c r="L36" s="3" t="s">
        <v>31</v>
      </c>
      <c r="M36" s="3" t="s">
        <v>32</v>
      </c>
      <c r="N36" s="7">
        <f t="shared" si="3"/>
        <v>1850</v>
      </c>
      <c r="O36" s="7">
        <f t="shared" si="4"/>
        <v>0</v>
      </c>
      <c r="P36" s="7">
        <f t="shared" si="5"/>
        <v>1850</v>
      </c>
      <c r="Q36" s="7">
        <f t="shared" si="0"/>
        <v>0</v>
      </c>
      <c r="R36" s="3" t="str">
        <f t="shared" si="6"/>
        <v>Standard</v>
      </c>
      <c r="S36" s="3">
        <f t="shared" si="8"/>
        <v>0</v>
      </c>
      <c r="T36" s="3"/>
      <c r="U36" s="3"/>
      <c r="V36" s="3"/>
      <c r="W36" s="3"/>
    </row>
    <row r="37" spans="1:23" x14ac:dyDescent="0.3">
      <c r="A37" s="3" t="s">
        <v>49</v>
      </c>
      <c r="B37" s="4">
        <v>45710</v>
      </c>
      <c r="C37" s="5" t="str">
        <f t="shared" si="1"/>
        <v>Rohit Deshmukh</v>
      </c>
      <c r="D37" s="3" t="s">
        <v>51</v>
      </c>
      <c r="E37" s="3" t="s">
        <v>52</v>
      </c>
      <c r="F37" s="3" t="s">
        <v>14</v>
      </c>
      <c r="G37" s="3" t="str">
        <f t="shared" si="2"/>
        <v>Fashion &amp; Ethnic</v>
      </c>
      <c r="H37" s="6" t="s">
        <v>53</v>
      </c>
      <c r="I37" s="7">
        <v>3200</v>
      </c>
      <c r="J37" s="3">
        <v>2</v>
      </c>
      <c r="K37" s="3">
        <v>0.2</v>
      </c>
      <c r="L37" s="3" t="s">
        <v>54</v>
      </c>
      <c r="M37" s="3" t="s">
        <v>17</v>
      </c>
      <c r="N37" s="7">
        <f t="shared" si="3"/>
        <v>6400</v>
      </c>
      <c r="O37" s="7">
        <f t="shared" si="4"/>
        <v>1280</v>
      </c>
      <c r="P37" s="7">
        <f t="shared" si="5"/>
        <v>5120</v>
      </c>
      <c r="Q37" s="7">
        <f t="shared" si="0"/>
        <v>5120</v>
      </c>
      <c r="R37" s="3" t="str">
        <f t="shared" si="6"/>
        <v>High Value</v>
      </c>
      <c r="S37" s="3">
        <f t="shared" si="8"/>
        <v>5120</v>
      </c>
      <c r="T37" s="3"/>
      <c r="U37" s="3"/>
      <c r="V37" s="3"/>
      <c r="W37" s="3"/>
    </row>
    <row r="38" spans="1:23" x14ac:dyDescent="0.3">
      <c r="A38" s="3" t="s">
        <v>69</v>
      </c>
      <c r="B38" s="4">
        <v>45706</v>
      </c>
      <c r="C38" s="5" t="str">
        <f t="shared" si="1"/>
        <v>Akash Gupta</v>
      </c>
      <c r="D38" s="3" t="s">
        <v>71</v>
      </c>
      <c r="E38" s="3" t="s">
        <v>72</v>
      </c>
      <c r="F38" s="3" t="s">
        <v>28</v>
      </c>
      <c r="G38" s="3" t="str">
        <f t="shared" si="2"/>
        <v>Mobiles &amp; Accessories</v>
      </c>
      <c r="H38" s="6" t="s">
        <v>15</v>
      </c>
      <c r="I38" s="7">
        <v>12499</v>
      </c>
      <c r="J38" s="3">
        <v>2</v>
      </c>
      <c r="K38" s="3">
        <v>0.05</v>
      </c>
      <c r="L38" s="3" t="s">
        <v>16</v>
      </c>
      <c r="M38" s="3" t="s">
        <v>43</v>
      </c>
      <c r="N38" s="7">
        <f t="shared" si="3"/>
        <v>24998</v>
      </c>
      <c r="O38" s="7">
        <f t="shared" si="4"/>
        <v>1249.9000000000001</v>
      </c>
      <c r="P38" s="7">
        <f t="shared" si="5"/>
        <v>23748.1</v>
      </c>
      <c r="Q38" s="7">
        <f t="shared" si="0"/>
        <v>0</v>
      </c>
      <c r="R38" s="3" t="str">
        <f t="shared" si="6"/>
        <v>High Value</v>
      </c>
      <c r="S38" s="3">
        <f t="shared" si="8"/>
        <v>0</v>
      </c>
      <c r="T38" s="3"/>
      <c r="U38" s="3"/>
      <c r="V38" s="3"/>
      <c r="W38" s="3"/>
    </row>
    <row r="39" spans="1:23" x14ac:dyDescent="0.3">
      <c r="A39" s="3" t="s">
        <v>83</v>
      </c>
      <c r="B39" s="4">
        <v>45698</v>
      </c>
      <c r="C39" s="5" t="str">
        <f t="shared" si="1"/>
        <v>Manish Joshi</v>
      </c>
      <c r="D39" s="3" t="s">
        <v>85</v>
      </c>
      <c r="E39" s="3" t="s">
        <v>86</v>
      </c>
      <c r="F39" s="3" t="s">
        <v>87</v>
      </c>
      <c r="G39" s="3" t="str">
        <f t="shared" si="2"/>
        <v>Electronics</v>
      </c>
      <c r="H39" s="6" t="s">
        <v>88</v>
      </c>
      <c r="I39" s="7">
        <v>42999</v>
      </c>
      <c r="J39" s="3">
        <v>1</v>
      </c>
      <c r="K39" s="3">
        <v>0.18</v>
      </c>
      <c r="L39" s="3" t="s">
        <v>23</v>
      </c>
      <c r="M39" s="3" t="s">
        <v>17</v>
      </c>
      <c r="N39" s="7">
        <f t="shared" si="3"/>
        <v>42999</v>
      </c>
      <c r="O39" s="7">
        <f t="shared" si="4"/>
        <v>7739.82</v>
      </c>
      <c r="P39" s="7">
        <f t="shared" si="5"/>
        <v>35259.18</v>
      </c>
      <c r="Q39" s="7">
        <f t="shared" si="0"/>
        <v>35259.18</v>
      </c>
      <c r="R39" s="3" t="str">
        <f t="shared" si="6"/>
        <v>High Value</v>
      </c>
      <c r="S39" s="3">
        <f t="shared" si="8"/>
        <v>0</v>
      </c>
      <c r="T39" s="3"/>
      <c r="U39" s="3"/>
      <c r="V39" s="3"/>
      <c r="W39" s="3"/>
    </row>
    <row r="40" spans="1:23" x14ac:dyDescent="0.3">
      <c r="A40" s="3" t="s">
        <v>99</v>
      </c>
      <c r="B40" s="4">
        <v>45693</v>
      </c>
      <c r="C40" s="5" t="str">
        <f t="shared" si="1"/>
        <v>Divya Pillai</v>
      </c>
      <c r="D40" s="3" t="s">
        <v>101</v>
      </c>
      <c r="E40" s="3" t="s">
        <v>102</v>
      </c>
      <c r="F40" s="3" t="s">
        <v>36</v>
      </c>
      <c r="G40" s="3" t="str">
        <f t="shared" si="2"/>
        <v>Beauty &amp; Grooming</v>
      </c>
      <c r="H40" s="6" t="s">
        <v>103</v>
      </c>
      <c r="I40" s="7">
        <v>1650</v>
      </c>
      <c r="J40" s="3">
        <v>3</v>
      </c>
      <c r="K40" s="3">
        <v>0.1</v>
      </c>
      <c r="L40" s="3" t="s">
        <v>16</v>
      </c>
      <c r="M40" s="3" t="s">
        <v>17</v>
      </c>
      <c r="N40" s="7">
        <f t="shared" si="3"/>
        <v>4950</v>
      </c>
      <c r="O40" s="7">
        <f t="shared" si="4"/>
        <v>495</v>
      </c>
      <c r="P40" s="7">
        <f t="shared" si="5"/>
        <v>4455</v>
      </c>
      <c r="Q40" s="7">
        <f t="shared" si="0"/>
        <v>4455</v>
      </c>
      <c r="R40" s="3" t="str">
        <f t="shared" si="6"/>
        <v>Standard</v>
      </c>
      <c r="S40" s="3">
        <f t="shared" si="8"/>
        <v>0</v>
      </c>
      <c r="T40" s="3"/>
      <c r="U40" s="3"/>
      <c r="V40" s="3"/>
      <c r="W40" s="3"/>
    </row>
    <row r="41" spans="1:23" x14ac:dyDescent="0.3">
      <c r="A41" s="3" t="s">
        <v>114</v>
      </c>
      <c r="B41" s="4">
        <v>45689</v>
      </c>
      <c r="C41" s="5" t="str">
        <f t="shared" si="1"/>
        <v>Vijay Kumar</v>
      </c>
      <c r="D41" s="3" t="s">
        <v>116</v>
      </c>
      <c r="E41" s="3" t="s">
        <v>117</v>
      </c>
      <c r="F41" s="3" t="s">
        <v>36</v>
      </c>
      <c r="G41" s="3" t="str">
        <f t="shared" si="2"/>
        <v>Home &amp; Kitchen</v>
      </c>
      <c r="H41" s="6" t="s">
        <v>29</v>
      </c>
      <c r="I41" s="7">
        <v>4800</v>
      </c>
      <c r="J41" s="3">
        <v>1</v>
      </c>
      <c r="K41" s="3">
        <v>0</v>
      </c>
      <c r="L41" s="3" t="s">
        <v>31</v>
      </c>
      <c r="M41" s="3" t="s">
        <v>17</v>
      </c>
      <c r="N41" s="7">
        <f t="shared" si="3"/>
        <v>4800</v>
      </c>
      <c r="O41" s="7">
        <f t="shared" si="4"/>
        <v>0</v>
      </c>
      <c r="P41" s="7">
        <f t="shared" si="5"/>
        <v>4800</v>
      </c>
      <c r="Q41" s="7">
        <f t="shared" si="0"/>
        <v>4800</v>
      </c>
      <c r="R41" s="3" t="str">
        <f t="shared" si="6"/>
        <v>Standard</v>
      </c>
      <c r="S41" s="3">
        <f t="shared" si="8"/>
        <v>0</v>
      </c>
      <c r="T41" s="3"/>
      <c r="U41" s="3"/>
      <c r="V41" s="3"/>
      <c r="W41" s="3"/>
    </row>
    <row r="42" spans="1:23" x14ac:dyDescent="0.3">
      <c r="A42" s="3" t="s">
        <v>127</v>
      </c>
      <c r="B42" s="4">
        <v>45679</v>
      </c>
      <c r="C42" s="5" t="str">
        <f t="shared" si="1"/>
        <v>Rajesh Iyer</v>
      </c>
      <c r="D42" s="3" t="s">
        <v>129</v>
      </c>
      <c r="E42" s="3" t="s">
        <v>130</v>
      </c>
      <c r="F42" s="3" t="s">
        <v>36</v>
      </c>
      <c r="G42" s="3" t="str">
        <f t="shared" si="2"/>
        <v>Mobiles &amp; Accessories</v>
      </c>
      <c r="H42" s="6" t="s">
        <v>48</v>
      </c>
      <c r="I42" s="7">
        <v>15999</v>
      </c>
      <c r="J42" s="3">
        <v>1</v>
      </c>
      <c r="K42" s="3">
        <v>0.05</v>
      </c>
      <c r="L42" s="3" t="s">
        <v>31</v>
      </c>
      <c r="M42" s="3" t="s">
        <v>32</v>
      </c>
      <c r="N42" s="7">
        <f t="shared" si="3"/>
        <v>15999</v>
      </c>
      <c r="O42" s="7">
        <f t="shared" si="4"/>
        <v>799.95</v>
      </c>
      <c r="P42" s="7">
        <f t="shared" si="5"/>
        <v>15199.05</v>
      </c>
      <c r="Q42" s="7">
        <f t="shared" si="0"/>
        <v>0</v>
      </c>
      <c r="R42" s="3" t="str">
        <f t="shared" si="6"/>
        <v>Standard</v>
      </c>
      <c r="S42" s="3">
        <f t="shared" si="8"/>
        <v>0</v>
      </c>
      <c r="T42" s="3"/>
      <c r="U42" s="3"/>
      <c r="V42" s="3"/>
      <c r="W42" s="3"/>
    </row>
    <row r="43" spans="1:23" x14ac:dyDescent="0.3">
      <c r="A43" s="3" t="s">
        <v>139</v>
      </c>
      <c r="B43" s="4">
        <v>45675</v>
      </c>
      <c r="C43" s="5" t="str">
        <f t="shared" si="1"/>
        <v>Nidhi Agarwal</v>
      </c>
      <c r="D43" s="3" t="s">
        <v>141</v>
      </c>
      <c r="E43" s="3" t="s">
        <v>142</v>
      </c>
      <c r="F43" s="3" t="s">
        <v>28</v>
      </c>
      <c r="G43" s="3" t="str">
        <f t="shared" si="2"/>
        <v>Fashion &amp; Ethnic</v>
      </c>
      <c r="H43" s="6" t="s">
        <v>53</v>
      </c>
      <c r="I43" s="7">
        <v>1950</v>
      </c>
      <c r="J43" s="3">
        <v>3</v>
      </c>
      <c r="K43" s="3">
        <v>0.1</v>
      </c>
      <c r="L43" s="3" t="s">
        <v>16</v>
      </c>
      <c r="M43" s="3" t="s">
        <v>17</v>
      </c>
      <c r="N43" s="7">
        <f t="shared" si="3"/>
        <v>5850</v>
      </c>
      <c r="O43" s="7">
        <f t="shared" si="4"/>
        <v>585</v>
      </c>
      <c r="P43" s="7">
        <f t="shared" si="5"/>
        <v>5265</v>
      </c>
      <c r="Q43" s="7">
        <f t="shared" si="0"/>
        <v>5265</v>
      </c>
      <c r="R43" s="3" t="str">
        <f t="shared" si="6"/>
        <v>Standard</v>
      </c>
      <c r="S43" s="3">
        <f t="shared" si="8"/>
        <v>0</v>
      </c>
      <c r="T43" s="3"/>
      <c r="U43" s="3"/>
      <c r="V43" s="3"/>
      <c r="W43" s="3"/>
    </row>
    <row r="44" spans="1:23" x14ac:dyDescent="0.3">
      <c r="A44" s="3" t="s">
        <v>153</v>
      </c>
      <c r="B44" s="4">
        <v>45672</v>
      </c>
      <c r="C44" s="5" t="str">
        <f t="shared" si="1"/>
        <v>Saurabh Kumar</v>
      </c>
      <c r="D44" s="3" t="s">
        <v>155</v>
      </c>
      <c r="E44" s="3" t="s">
        <v>78</v>
      </c>
      <c r="F44" s="3" t="s">
        <v>47</v>
      </c>
      <c r="G44" s="3" t="str">
        <f t="shared" si="2"/>
        <v>Electronics</v>
      </c>
      <c r="H44" s="6" t="s">
        <v>67</v>
      </c>
      <c r="I44" s="7">
        <v>22499</v>
      </c>
      <c r="J44" s="3">
        <v>1</v>
      </c>
      <c r="K44" s="3">
        <v>0.1</v>
      </c>
      <c r="L44" s="3" t="s">
        <v>23</v>
      </c>
      <c r="M44" s="3" t="s">
        <v>17</v>
      </c>
      <c r="N44" s="7">
        <f t="shared" si="3"/>
        <v>22499</v>
      </c>
      <c r="O44" s="7">
        <f t="shared" si="4"/>
        <v>2249.9</v>
      </c>
      <c r="P44" s="7">
        <f t="shared" si="5"/>
        <v>20249.099999999999</v>
      </c>
      <c r="Q44" s="7">
        <f t="shared" si="0"/>
        <v>20249.099999999999</v>
      </c>
      <c r="R44" s="3" t="str">
        <f t="shared" si="6"/>
        <v>High Value</v>
      </c>
      <c r="S44" s="3">
        <f t="shared" si="8"/>
        <v>0</v>
      </c>
      <c r="T44" s="3"/>
      <c r="U44" s="3"/>
      <c r="V44" s="3"/>
      <c r="W44" s="3"/>
    </row>
    <row r="45" spans="1:23" x14ac:dyDescent="0.3">
      <c r="A45" s="3" t="s">
        <v>163</v>
      </c>
      <c r="B45" s="4">
        <v>45665</v>
      </c>
      <c r="C45" s="5" t="str">
        <f t="shared" si="1"/>
        <v>Nitin Gadkari</v>
      </c>
      <c r="D45" s="3" t="s">
        <v>165</v>
      </c>
      <c r="E45" s="3" t="s">
        <v>52</v>
      </c>
      <c r="F45" s="3" t="s">
        <v>14</v>
      </c>
      <c r="G45" s="3" t="str">
        <f t="shared" si="2"/>
        <v>Beauty &amp; Grooming</v>
      </c>
      <c r="H45" s="6" t="s">
        <v>103</v>
      </c>
      <c r="I45" s="7">
        <v>750</v>
      </c>
      <c r="J45" s="3">
        <v>3</v>
      </c>
      <c r="K45" s="3">
        <v>0</v>
      </c>
      <c r="L45" s="3" t="s">
        <v>31</v>
      </c>
      <c r="M45" s="3" t="s">
        <v>17</v>
      </c>
      <c r="N45" s="7">
        <f t="shared" si="3"/>
        <v>2250</v>
      </c>
      <c r="O45" s="7">
        <f t="shared" si="4"/>
        <v>0</v>
      </c>
      <c r="P45" s="7">
        <f t="shared" si="5"/>
        <v>2250</v>
      </c>
      <c r="Q45" s="7">
        <f t="shared" si="0"/>
        <v>2250</v>
      </c>
      <c r="R45" s="3" t="str">
        <f t="shared" si="6"/>
        <v>Standard</v>
      </c>
      <c r="S45" s="3">
        <f t="shared" si="8"/>
        <v>2250</v>
      </c>
      <c r="T45" s="3"/>
      <c r="U45" s="3"/>
      <c r="V45" s="3"/>
      <c r="W45" s="3"/>
    </row>
    <row r="46" spans="1:23" x14ac:dyDescent="0.3">
      <c r="A46" s="3" t="s">
        <v>175</v>
      </c>
      <c r="B46" s="4">
        <v>45662</v>
      </c>
      <c r="C46" s="5" t="str">
        <f t="shared" si="1"/>
        <v>Madhavan Nair</v>
      </c>
      <c r="D46" s="3" t="s">
        <v>177</v>
      </c>
      <c r="E46" s="3" t="s">
        <v>178</v>
      </c>
      <c r="F46" s="3" t="s">
        <v>36</v>
      </c>
      <c r="G46" s="3" t="str">
        <f t="shared" si="2"/>
        <v>Home &amp; Kitchen</v>
      </c>
      <c r="H46" s="6" t="s">
        <v>29</v>
      </c>
      <c r="I46" s="7">
        <v>5100</v>
      </c>
      <c r="J46" s="3">
        <v>1</v>
      </c>
      <c r="K46" s="3">
        <v>0</v>
      </c>
      <c r="L46" s="3" t="s">
        <v>31</v>
      </c>
      <c r="M46" s="3" t="s">
        <v>17</v>
      </c>
      <c r="N46" s="7">
        <f t="shared" si="3"/>
        <v>5100</v>
      </c>
      <c r="O46" s="7">
        <f t="shared" si="4"/>
        <v>0</v>
      </c>
      <c r="P46" s="7">
        <f t="shared" si="5"/>
        <v>5100</v>
      </c>
      <c r="Q46" s="7">
        <f>IF(M46="Delivered",P46,0)</f>
        <v>5100</v>
      </c>
      <c r="R46" s="3" t="str">
        <f t="shared" si="6"/>
        <v>Standard</v>
      </c>
      <c r="S46" s="3">
        <f>SUMIFS(Q46,F46,"West",M46,"Delivered")</f>
        <v>0</v>
      </c>
      <c r="T46" s="3"/>
      <c r="U46" s="3"/>
      <c r="V46" s="3"/>
      <c r="W46" s="3"/>
    </row>
    <row r="47" spans="1:23" x14ac:dyDescent="0.3">
      <c r="A47" s="3"/>
      <c r="B47" s="4"/>
      <c r="C47" s="5" t="str">
        <f t="shared" si="1"/>
        <v/>
      </c>
      <c r="D47" s="3"/>
      <c r="E47" s="3"/>
      <c r="F47" s="3"/>
      <c r="G47" s="3"/>
      <c r="H47" s="6"/>
      <c r="I47" s="7"/>
      <c r="J47" s="3"/>
      <c r="K47" s="3"/>
      <c r="L47" s="3"/>
      <c r="M47" s="3"/>
      <c r="N47" s="3"/>
      <c r="O47" s="7"/>
      <c r="P47" s="3"/>
      <c r="Q47" s="7"/>
      <c r="R47" s="3"/>
      <c r="S47" s="3">
        <f>SUM(S2:S46)</f>
        <v>147846.20000000001</v>
      </c>
      <c r="T47" s="3"/>
      <c r="U47" s="3"/>
      <c r="V47" s="3"/>
      <c r="W47" s="3"/>
    </row>
    <row r="48" spans="1:23" x14ac:dyDescent="0.3">
      <c r="A48" s="3"/>
      <c r="B48" s="4"/>
      <c r="C48" s="5" t="str">
        <f t="shared" si="1"/>
        <v/>
      </c>
      <c r="D48" s="3"/>
      <c r="E48" s="3"/>
      <c r="F48" s="3"/>
      <c r="G48" s="3"/>
      <c r="H48" s="6"/>
      <c r="I48" s="7"/>
      <c r="J48" s="3"/>
      <c r="K48" s="3"/>
      <c r="L48" s="3"/>
      <c r="M48" s="3"/>
      <c r="N48" s="3"/>
      <c r="O48" s="3"/>
      <c r="P48" s="3"/>
      <c r="Q48" s="7"/>
      <c r="R48" s="3"/>
      <c r="S48" s="3"/>
      <c r="T48" s="3"/>
      <c r="U48" s="3"/>
      <c r="V48" s="3"/>
      <c r="W48" s="3"/>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CFED-40A2-4AA8-8DC2-E83775DEC35E}">
  <dimension ref="A1"/>
  <sheetViews>
    <sheetView showGridLines="0" tabSelected="1" zoomScale="66" zoomScaleNormal="117" workbookViewId="0">
      <selection activeCell="Q16" sqref="Q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FC1954-CD54-445D-9841-881691023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Detail1</vt:lpstr>
      <vt:lpstr>Pivot_Table</vt:lpstr>
      <vt:lpstr>Cleaned_Data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Bhole</dc:creator>
  <cp:lastModifiedBy>Suyash Bhole</cp:lastModifiedBy>
  <dcterms:created xsi:type="dcterms:W3CDTF">2026-10-19T08:59:34Z</dcterms:created>
  <dcterms:modified xsi:type="dcterms:W3CDTF">2026-10-19T20:38:16Z</dcterms:modified>
</cp:coreProperties>
</file>